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4831" windowHeight="7431" activeTab="0" tabRatio="600"/>
  </bookViews>
  <sheets>
    <sheet name="RawData" sheetId="1" r:id="rId2"/>
    <sheet name="Charts" sheetId="2" r:id="rId3"/>
  </sheets>
  <definedNames>
    <definedName name="_xlnm._FilterDatabase" localSheetId="0" hidden="1">RawData!D3:F24</definedName>
  </definedNames>
  <calcPr calcId="179021"/>
</workbook>
</file>

<file path=xl/sharedStrings.xml><?xml version="1.0" encoding="utf-8"?>
<sst xmlns="http://schemas.openxmlformats.org/spreadsheetml/2006/main" count="124" uniqueCount="39">
  <si>
    <r>
      <rPr>
        <b/>
        <sz val="29.0"/>
        <color rgb="FFFFFFFF"/>
        <rFont val="Noto Sans CJK HK"/>
        <family val="1"/>
      </rPr>
      <t>Raw Data</t>
    </r>
    <phoneticPr fontId="0" type="noConversion"/>
  </si>
  <si>
    <t>Date</t>
  </si>
  <si>
    <t>Product</t>
  </si>
  <si>
    <t>Price</t>
  </si>
  <si>
    <t>Customer Type</t>
  </si>
  <si>
    <t>Day 2</t>
  </si>
  <si>
    <t>Day 1</t>
  </si>
  <si>
    <t>Egg Tart</t>
  </si>
  <si>
    <t>Adult</t>
  </si>
  <si>
    <r>
      <rPr>
        <sz val="11.0"/>
        <rFont val="Roboto"/>
        <family val="1"/>
      </rPr>
      <t xml:space="preserve">Banana Loaf  - </t>
    </r>
    <r>
      <rPr>
        <b/>
        <sz val="11.0"/>
        <rFont val="Roboto"/>
        <family val="1"/>
      </rPr>
      <t>140</t>
    </r>
    <r>
      <rPr>
        <sz val="11.0"/>
        <rFont val="Roboto"/>
        <family val="1"/>
      </rPr>
      <t xml:space="preserve"></t>
    </r>
    <phoneticPr fontId="0" type="noConversion"/>
  </si>
  <si>
    <t>Banana Loaf 150</t>
  </si>
  <si>
    <t>Banana Loaf</t>
  </si>
  <si>
    <t>Student</t>
  </si>
  <si>
    <r>
      <rPr>
        <sz val="11.0"/>
        <rFont val="Roboto"/>
        <family val="1"/>
      </rPr>
      <t xml:space="preserve">Tulip Cake - </t>
    </r>
    <r>
      <rPr>
        <b/>
        <sz val="11.0"/>
        <rFont val="Roboto"/>
        <family val="1"/>
      </rPr>
      <t>250</t>
    </r>
    <r>
      <rPr>
        <sz val="11.0"/>
        <rFont val="Roboto"/>
        <family val="1"/>
      </rPr>
      <t xml:space="preserve"></t>
    </r>
    <phoneticPr fontId="0" type="noConversion"/>
  </si>
  <si>
    <t>Tulip Cake 250</t>
  </si>
  <si>
    <t>Tulip Cake</t>
  </si>
  <si>
    <r>
      <rPr>
        <sz val="11.0"/>
        <rFont val="Roboto"/>
        <family val="1"/>
      </rPr>
      <t>Mini Cupcake -</t>
    </r>
    <r>
      <rPr>
        <b/>
        <sz val="11.0"/>
        <rFont val="Roboto"/>
        <family val="1"/>
      </rPr>
      <t xml:space="preserve"> 120</t>
    </r>
    <r>
      <rPr>
        <sz val="11.0"/>
        <rFont val="Roboto"/>
        <family val="1"/>
      </rPr>
      <t xml:space="preserve"></t>
    </r>
    <phoneticPr fontId="0" type="noConversion"/>
  </si>
  <si>
    <t>Brownies</t>
  </si>
  <si>
    <t>Mini Cupcake 130</t>
  </si>
  <si>
    <t>Mini Cupcake</t>
  </si>
  <si>
    <r>
      <rPr>
        <sz val="11.0"/>
        <rFont val="Roboto"/>
        <family val="1"/>
      </rPr>
      <t xml:space="preserve">Cupcake - </t>
    </r>
    <r>
      <rPr>
        <b/>
        <sz val="11.0"/>
        <rFont val="Roboto"/>
        <family val="1"/>
      </rPr>
      <t>60</t>
    </r>
    <r>
      <rPr>
        <sz val="11.0"/>
        <rFont val="Roboto"/>
        <family val="1"/>
      </rPr>
      <t xml:space="preserve"></t>
    </r>
    <phoneticPr fontId="0" type="noConversion"/>
  </si>
  <si>
    <t>Cupcake 90</t>
  </si>
  <si>
    <r>
      <rPr>
        <sz val="11.0"/>
        <rFont val="Roboto"/>
        <family val="1"/>
      </rPr>
      <t xml:space="preserve">Brownies - </t>
    </r>
    <r>
      <rPr>
        <b/>
        <sz val="11.0"/>
        <rFont val="Roboto"/>
        <family val="1"/>
      </rPr>
      <t>140</t>
    </r>
    <r>
      <rPr>
        <sz val="11.0"/>
        <rFont val="Roboto"/>
        <family val="1"/>
      </rPr>
      <t xml:space="preserve"></t>
    </r>
    <phoneticPr fontId="0" type="noConversion"/>
  </si>
  <si>
    <t>Brownies 150</t>
  </si>
  <si>
    <r>
      <rPr>
        <sz val="11.0"/>
        <rFont val="Roboto"/>
        <family val="1"/>
      </rPr>
      <t xml:space="preserve">Egg Tart - </t>
    </r>
    <r>
      <rPr>
        <b/>
        <sz val="11.0"/>
        <rFont val="Roboto"/>
        <family val="1"/>
      </rPr>
      <t>240</t>
    </r>
    <r>
      <rPr>
        <sz val="11.0"/>
        <rFont val="Roboto"/>
        <family val="1"/>
      </rPr>
      <t xml:space="preserve"></t>
    </r>
    <phoneticPr fontId="0" type="noConversion"/>
  </si>
  <si>
    <t>Egg Tart 250</t>
  </si>
  <si>
    <r>
      <rPr>
        <sz val="11.0"/>
        <rFont val="Roboto"/>
        <family val="1"/>
      </rPr>
      <t xml:space="preserve">Juice - </t>
    </r>
    <r>
      <rPr>
        <b/>
        <sz val="11.0"/>
        <rFont val="Roboto"/>
        <family val="1"/>
      </rPr>
      <t>50</t>
    </r>
    <r>
      <rPr>
        <sz val="11.0"/>
        <rFont val="Roboto"/>
        <family val="1"/>
      </rPr>
      <t xml:space="preserve"></t>
    </r>
    <phoneticPr fontId="0" type="noConversion"/>
  </si>
  <si>
    <t>Juice 50</t>
  </si>
  <si>
    <t>Total</t>
  </si>
  <si>
    <r>
      <rPr>
        <b/>
        <sz val="11.0"/>
        <color rgb="FFFFFFFF"/>
        <rFont val="Roboto"/>
        <family val="1"/>
      </rPr>
      <t xml:space="preserve">TOTAL SALES (ALL-IN-ALL)</t>
    </r>
    <phoneticPr fontId="0" type="noConversion"/>
  </si>
  <si>
    <t xml:space="preserve">           </t>
  </si>
  <si>
    <t>Cupcake</t>
  </si>
  <si>
    <t>Quantity Sold</t>
  </si>
  <si>
    <t>Quantity</t>
  </si>
  <si>
    <t>Child</t>
  </si>
  <si>
    <t>Teenager</t>
  </si>
  <si>
    <t>Elderly</t>
  </si>
  <si>
    <t>Juice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</si>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</sst>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yyyy\/m\/d"/>
    <numFmt numFmtId="182" formatCode="h:mm:ss;@"/>
    <numFmt numFmtId="183" formatCode="[$Php-3409]#,##0.00;-[$Php-3409]#,##0.00"/>
    <numFmt numFmtId="184" formatCode="￥#,##0.00;￥-#,##0.00"/>
    <numFmt numFmtId="185" formatCode="[$P-1404]#,##0.00;-[$P-1404]#,##0.00"/>
    <numFmt numFmtId="186" formatCode="_ * #,##0_ ;_ * -#,##0_ ;_ * &quot;-&quot;_ ;_ @_ "/>
  </numFmts>
  <fonts count="63" x14ac:knownFonts="63">
    <font>
      <sz val="11.0"/>
      <name val="Roboto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Roboto"/>
      <family val="1"/>
      <b/>
    </font>
    <font>
      <sz val="11.0"/>
      <name val="Droid Sans"/>
      <charset val="134"/>
    </font>
    <font>
      <sz val="11.0"/>
      <name val="Droid Sans"/>
      <charset val="134"/>
      <b/>
    </font>
    <font>
      <sz val="11.0"/>
      <color rgb="FFFFFFFF"/>
      <name val="Roboto"/>
      <family val="1"/>
    </font>
    <font>
      <sz val="11.0"/>
      <color rgb="FFFFFFFF"/>
      <name val="Roboto"/>
      <family val="1"/>
      <b/>
    </font>
    <font>
      <sz val="11.0"/>
      <name val="Roboto"/>
      <family val="1"/>
      <i/>
    </font>
    <font>
      <sz val="11.0"/>
      <color rgb="FFFFFFFF"/>
      <name val="Roboto"/>
      <family val="1"/>
      <b/>
      <i/>
    </font>
    <font>
      <sz val="11.0"/>
      <name val="Roboto Flex"/>
      <family val="1"/>
    </font>
    <font>
      <sz val="11.0"/>
      <color rgb="FFFFFFFF"/>
      <name val="Roboto Flex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46.0"/>
      <name val="Roboto"/>
      <family val="1"/>
    </font>
    <font>
      <sz val="11.0"/>
      <color rgb="FF000000"/>
      <name val="Roboto"/>
      <family val="1"/>
    </font>
    <font>
      <sz val="33.0"/>
      <name val="Roboto"/>
      <family val="1"/>
    </font>
    <font>
      <sz val="33.0"/>
      <color rgb="FF000000"/>
      <name val="Roboto"/>
      <family val="1"/>
    </font>
    <font>
      <sz val="29.0"/>
      <name val="Roboto"/>
      <family val="1"/>
    </font>
    <font>
      <sz val="29.0"/>
      <color rgb="FF000000"/>
      <name val="Roboto"/>
      <family val="1"/>
    </font>
    <font>
      <sz val="11.0"/>
      <name val="DejaVu Math TeX Gyre"/>
      <family val="1"/>
    </font>
    <font>
      <sz val="29.0"/>
      <color rgb="FF000000"/>
      <name val="DejaVu Math TeX Gyre"/>
      <family val="1"/>
    </font>
    <font>
      <sz val="11.0"/>
      <name val="Droid Sans Mono"/>
      <family val="1"/>
    </font>
    <font>
      <sz val="29.0"/>
      <color rgb="FF000000"/>
      <name val="Droid Sans Mono"/>
      <family val="1"/>
    </font>
    <font>
      <sz val="11.0"/>
      <name val="HonorDigits_Inline Thin"/>
      <family val="1"/>
    </font>
    <font>
      <sz val="29.0"/>
      <color rgb="FF000000"/>
      <name val="HonorDigits_Inline Thin"/>
      <family val="1"/>
    </font>
    <font>
      <sz val="11.0"/>
      <name val="HonorDigits_ZYRainbowVF"/>
      <family val="1"/>
    </font>
    <font>
      <sz val="29.0"/>
      <color rgb="FF000000"/>
      <name val="HonorDigits_ZYRainbowVF"/>
      <family val="1"/>
    </font>
    <font>
      <sz val="11.0"/>
      <name val="Noto Sans CJK HK"/>
      <family val="1"/>
    </font>
    <font>
      <sz val="29.0"/>
      <color rgb="FF000000"/>
      <name val="Noto Sans CJK HK"/>
      <family val="1"/>
    </font>
    <font>
      <sz val="29.0"/>
      <color rgb="FF000000"/>
      <name val="Noto Sans CJK HK"/>
      <family val="1"/>
      <b/>
    </font>
    <font>
      <sz val="29.0"/>
      <color rgb="FFFFFFFF"/>
      <name val="Noto Sans CJK HK"/>
      <family val="1"/>
      <b/>
    </font>
    <font>
      <sz val="11.0"/>
      <name val="Roboto"/>
      <family val="1"/>
    </font>
  </fonts>
  <fills count="72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A9BE7A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F6128"/>
        <bgColor indexed="64"/>
      </patternFill>
    </fill>
  </fills>
  <borders count="1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93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2" applyFill="1" borderId="0" applyAlignment="1" xfId="0">
      <alignment vertical="center"/>
    </xf>
    <xf numFmtId="0" fontId="2" applyFont="1" fillId="3" applyFill="1" borderId="0" applyAlignment="1" xfId="0">
      <alignment vertical="center"/>
    </xf>
    <xf numFmtId="0" fontId="3" applyFont="1" fillId="4" applyFill="1" borderId="0" applyAlignment="1" xfId="0">
      <alignment vertical="center"/>
    </xf>
    <xf numFmtId="0" fontId="4" applyFont="1" fillId="5" applyFill="1" borderId="1" applyBorder="1" applyAlignment="1" xfId="0">
      <alignment vertical="center"/>
    </xf>
    <xf numFmtId="0" fontId="5" applyFont="1" fillId="6" applyFill="1" borderId="2" applyBorder="1" applyAlignment="1" xfId="0">
      <alignment vertical="center"/>
    </xf>
    <xf numFmtId="0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3" applyBorder="1" applyAlignment="1" xfId="0">
      <alignment vertical="center"/>
    </xf>
    <xf numFmtId="0" fontId="9" applyFont="1" fillId="5" applyFill="1" borderId="4" applyBorder="1" applyAlignment="1" xfId="0">
      <alignment vertical="center"/>
    </xf>
    <xf numFmtId="0" fontId="10" applyFont="1" fillId="7" applyFill="1" borderId="5" applyBorder="1" applyAlignment="1" xfId="0">
      <alignment vertical="center"/>
    </xf>
    <xf numFmtId="0" fontId="0" fillId="8" applyFill="1" borderId="6" applyBorder="1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0" borderId="7" applyBorder="1" applyAlignment="1" xfId="0">
      <alignment vertical="center"/>
    </xf>
    <xf numFmtId="0" fontId="13" applyFont="1" fillId="0" borderId="8" applyBorder="1" applyAlignment="1" xfId="0">
      <alignment vertical="center"/>
    </xf>
    <xf numFmtId="0" fontId="14" applyFont="1" fillId="0" borderId="9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10" applyBorder="1" applyAlignment="1" xfId="0">
      <alignment vertical="center"/>
    </xf>
    <xf numFmtId="0" fontId="16" applyFont="1" fillId="9" applyFill="1" borderId="0" applyAlignment="1" xfId="0">
      <alignment vertical="center"/>
    </xf>
    <xf numFmtId="0" fontId="16" applyFont="1" fillId="10" applyFill="1" borderId="0" applyAlignment="1" xfId="0">
      <alignment vertical="center"/>
    </xf>
    <xf numFmtId="0" fontId="16" applyFont="1" fillId="11" applyFill="1" borderId="0" applyAlignment="1" xfId="0">
      <alignment vertical="center"/>
    </xf>
    <xf numFmtId="0" fontId="16" applyFont="1" fillId="12" applyFill="1" borderId="0" applyAlignment="1" xfId="0">
      <alignment vertical="center"/>
    </xf>
    <xf numFmtId="0" fontId="16" applyFont="1" fillId="13" applyFill="1" borderId="0" applyAlignment="1" xfId="0">
      <alignment vertical="center"/>
    </xf>
    <xf numFmtId="0" fontId="16" applyFont="1" fillId="14" applyFill="1" borderId="0" applyAlignment="1" xfId="0">
      <alignment vertical="center"/>
    </xf>
    <xf numFmtId="0" fontId="16" applyFont="1" fillId="15" applyFill="1" borderId="0" applyAlignment="1" xfId="0">
      <alignment vertical="center"/>
    </xf>
    <xf numFmtId="0" fontId="16" applyFont="1" fillId="16" applyFill="1" borderId="0" applyAlignment="1" xfId="0">
      <alignment vertical="center"/>
    </xf>
    <xf numFmtId="0" fontId="16" applyFont="1" fillId="17" applyFill="1" borderId="0" applyAlignment="1" xfId="0">
      <alignment vertical="center"/>
    </xf>
    <xf numFmtId="0" fontId="16" applyFont="1" fillId="18" applyFill="1" borderId="0" applyAlignment="1" xfId="0">
      <alignment vertical="center"/>
    </xf>
    <xf numFmtId="0" fontId="16" applyFont="1" fillId="19" applyFill="1" borderId="0" applyAlignment="1" xfId="0">
      <alignment vertical="center"/>
    </xf>
    <xf numFmtId="0" fontId="16" applyFont="1" fillId="20" applyFill="1" borderId="0" applyAlignment="1" xfId="0">
      <alignment vertical="center"/>
    </xf>
    <xf numFmtId="0" fontId="17" applyFont="1" fillId="21" applyFill="1" borderId="0" applyAlignment="1" xfId="0">
      <alignment vertical="center"/>
    </xf>
    <xf numFmtId="0" fontId="17" applyFont="1" fillId="22" applyFill="1" borderId="0" applyAlignment="1" xfId="0">
      <alignment vertical="center"/>
    </xf>
    <xf numFmtId="0" fontId="17" applyFont="1" fillId="23" applyFill="1" borderId="0" applyAlignment="1" xfId="0">
      <alignment vertical="center"/>
    </xf>
    <xf numFmtId="0" fontId="17" applyFont="1" fillId="24" applyFill="1" borderId="0" applyAlignment="1" xfId="0">
      <alignment vertical="center"/>
    </xf>
    <xf numFmtId="0" fontId="17" applyFont="1" fillId="25" applyFill="1" borderId="0" applyAlignment="1" xfId="0">
      <alignment vertical="center"/>
    </xf>
    <xf numFmtId="0" fontId="17" applyFont="1" fillId="26" applyFill="1" borderId="0" applyAlignment="1" xfId="0">
      <alignment vertical="center"/>
    </xf>
    <xf numFmtId="0" fontId="17" applyFont="1" fillId="27" applyFill="1" borderId="0" applyAlignment="1" xfId="0">
      <alignment vertical="center"/>
    </xf>
    <xf numFmtId="0" fontId="17" applyFont="1" fillId="28" applyFill="1" borderId="0" applyAlignment="1" xfId="0">
      <alignment vertical="center"/>
    </xf>
    <xf numFmtId="0" fontId="17" applyFont="1" fillId="29" applyFill="1" borderId="0" applyAlignment="1" xfId="0">
      <alignment vertical="center"/>
    </xf>
    <xf numFmtId="0" fontId="17" applyFont="1" fillId="30" applyFill="1" borderId="0" applyAlignment="1" xfId="0">
      <alignment vertical="center"/>
    </xf>
    <xf numFmtId="0" fontId="17" applyFont="1" fillId="31" applyFill="1" borderId="0" applyAlignment="1" xfId="0">
      <alignment vertical="center"/>
    </xf>
    <xf numFmtId="0" fontId="17" applyFont="1" fillId="32" applyFill="1" borderId="0" applyAlignment="1" xfId="0">
      <alignment vertical="center"/>
    </xf>
    <xf numFmtId="176" applyNumberFormat="1" fontId="0" fillId="0" borderId="0" applyAlignment="1" xfId="0">
      <alignment vertical="center"/>
    </xf>
    <xf numFmtId="177" applyNumberFormat="1" fontId="0" fillId="0" borderId="0" applyAlignment="1" xfId="0">
      <alignment vertical="center"/>
    </xf>
    <xf numFmtId="178" applyNumberFormat="1" fontId="0" fillId="0" borderId="0" applyAlignment="1" xfId="0">
      <alignment vertical="center"/>
    </xf>
    <xf numFmtId="179" applyNumberFormat="1" fontId="0" fillId="0" borderId="0" applyAlignment="1" xfId="0">
      <alignment vertical="center"/>
    </xf>
    <xf numFmtId="180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0" fontId="0" fillId="33" applyFill="1" borderId="0" applyAlignment="1" xfId="0">
      <alignment vertical="center"/>
    </xf>
    <xf numFmtId="182" applyNumberFormat="1" fontId="0" fillId="0" borderId="0" applyAlignment="1" xfId="0">
      <alignment vertical="center"/>
    </xf>
    <xf numFmtId="0" fontId="18" applyFont="1" fillId="0" borderId="0" applyAlignment="1" xfId="0">
      <alignment vertical="center"/>
    </xf>
    <xf numFmtId="183" applyNumberFormat="1" fontId="0" fillId="0" borderId="0" applyAlignment="1" xfId="0">
      <alignment vertical="center"/>
    </xf>
    <xf numFmtId="183" applyNumberFormat="1" fontId="18" applyFont="1" fillId="0" borderId="0" applyAlignment="1" xfId="0">
      <alignment vertical="center"/>
    </xf>
    <xf numFmtId="184" applyNumberFormat="1" fontId="0" fillId="0" borderId="0" applyAlignment="1" xfId="0">
      <alignment vertical="center"/>
    </xf>
    <xf numFmtId="0" fontId="0" fillId="0" borderId="0" applyAlignment="1" xfId="0">
      <alignment horizontal="right" vertical="center"/>
    </xf>
    <xf numFmtId="0" fontId="0" fillId="0" borderId="11" applyBorder="1" applyAlignment="1" xfId="0">
      <alignment horizontal="left" vertical="center"/>
    </xf>
    <xf numFmtId="0" fontId="0" fillId="0" borderId="0" applyAlignment="1" xfId="0">
      <alignment horizontal="left" vertical="center"/>
    </xf>
    <xf numFmtId="0" fontId="0" fillId="0" borderId="12" applyBorder="1" applyAlignment="1" xfId="0">
      <alignment vertical="center"/>
    </xf>
    <xf numFmtId="0" fontId="18" applyFont="1" fillId="0" borderId="13" applyBorder="1" applyAlignment="1" xfId="0">
      <alignment vertical="center"/>
    </xf>
    <xf numFmtId="0" fontId="0" fillId="0" borderId="14" applyBorder="1" applyAlignment="1" xfId="0">
      <alignment vertical="center"/>
    </xf>
    <xf numFmtId="0" fontId="0" fillId="0" borderId="15" applyBorder="1" applyAlignment="1" xfId="0">
      <alignment vertical="center"/>
    </xf>
    <xf numFmtId="0" fontId="18" applyFont="1" fillId="0" borderId="16" applyBorder="1" applyAlignment="1" xfId="0">
      <alignment vertical="center"/>
    </xf>
    <xf numFmtId="0" fontId="0" fillId="0" borderId="17" applyBorder="1" applyAlignment="1" xfId="0">
      <alignment vertical="center"/>
    </xf>
    <xf numFmtId="0" fontId="0" fillId="0" borderId="18" applyBorder="1" applyAlignment="1" xfId="0">
      <alignment vertical="center"/>
    </xf>
    <xf numFmtId="0" fontId="18" applyFont="1" fillId="0" borderId="19" applyBorder="1" applyAlignment="1" xfId="0">
      <alignment vertical="center"/>
    </xf>
    <xf numFmtId="0" fontId="0" fillId="0" borderId="20" applyBorder="1" applyAlignment="1" xfId="0">
      <alignment vertical="center"/>
    </xf>
    <xf numFmtId="0" fontId="0" fillId="0" borderId="21" applyBorder="1" applyAlignment="1" xfId="0">
      <alignment vertical="center"/>
    </xf>
    <xf numFmtId="0" fontId="18" applyFont="1" fillId="0" borderId="22" applyBorder="1" applyAlignment="1" xfId="0">
      <alignment vertical="center"/>
    </xf>
    <xf numFmtId="0" fontId="0" fillId="0" borderId="23" applyBorder="1" applyAlignment="1" xfId="0">
      <alignment vertical="center"/>
    </xf>
    <xf numFmtId="0" fontId="18" applyFont="1" fillId="0" borderId="24" applyBorder="1" applyAlignment="1" xfId="0">
      <alignment vertical="center"/>
    </xf>
    <xf numFmtId="0" fontId="18" applyFont="1" fillId="0" borderId="25" applyBorder="1" applyAlignment="1" xfId="0">
      <alignment vertical="center"/>
    </xf>
    <xf numFmtId="0" fontId="0" fillId="0" borderId="26" applyBorder="1" applyAlignment="1" xfId="0">
      <alignment vertical="center"/>
    </xf>
    <xf numFmtId="0" fontId="0" fillId="0" borderId="27" applyBorder="1" applyAlignment="1" xfId="0">
      <alignment vertical="center"/>
    </xf>
    <xf numFmtId="0" fontId="0" fillId="0" borderId="28" applyBorder="1" applyAlignment="1" xfId="0">
      <alignment vertical="center"/>
    </xf>
    <xf numFmtId="0" fontId="0" fillId="0" borderId="29" applyBorder="1" applyAlignment="1" xfId="0">
      <alignment vertical="center"/>
    </xf>
    <xf numFmtId="183" applyNumberFormat="1" fontId="18" applyFont="1" fillId="0" borderId="30" applyBorder="1" applyAlignment="1" xfId="0">
      <alignment vertical="center"/>
    </xf>
    <xf numFmtId="0" fontId="0" fillId="0" borderId="31" applyBorder="1" applyAlignment="1" xfId="0">
      <alignment vertical="center"/>
    </xf>
    <xf numFmtId="183" applyNumberFormat="1" fontId="18" applyFont="1" fillId="0" borderId="32" applyBorder="1" applyAlignment="1" xfId="0">
      <alignment vertical="center"/>
    </xf>
    <xf numFmtId="183" applyNumberFormat="1" fontId="18" applyFont="1" fillId="0" borderId="33" applyBorder="1" applyAlignment="1" xfId="0">
      <alignment vertical="center"/>
    </xf>
    <xf numFmtId="0" fontId="0" fillId="0" borderId="34" applyBorder="1" applyAlignment="1" xfId="0">
      <alignment vertical="center"/>
    </xf>
    <xf numFmtId="183" applyNumberFormat="1" fontId="18" applyFont="1" fillId="0" borderId="35" applyBorder="1" applyAlignment="1" xfId="0">
      <alignment vertical="center"/>
    </xf>
    <xf numFmtId="0" fontId="0" fillId="0" borderId="36" applyBorder="1" applyAlignment="1" xfId="0">
      <alignment vertical="center"/>
    </xf>
    <xf numFmtId="0" fontId="0" fillId="0" borderId="37" applyBorder="1" applyAlignment="1" xfId="0">
      <alignment vertical="center"/>
    </xf>
    <xf numFmtId="183" applyNumberFormat="1" fontId="18" applyFont="1" fillId="0" borderId="38" applyBorder="1" applyAlignment="1" xfId="0">
      <alignment vertical="center"/>
    </xf>
    <xf numFmtId="0" fontId="0" fillId="0" borderId="39" applyBorder="1" applyAlignment="1" xfId="0">
      <alignment vertical="center"/>
    </xf>
    <xf numFmtId="0" fontId="0" fillId="0" borderId="40" applyBorder="1" applyAlignment="1" xfId="0">
      <alignment vertical="center"/>
    </xf>
    <xf numFmtId="0" fontId="0" fillId="0" borderId="41" applyBorder="1" applyAlignment="1" xfId="0">
      <alignment vertical="center"/>
    </xf>
    <xf numFmtId="0" fontId="0" fillId="0" borderId="42" applyBorder="1" applyAlignment="1" xfId="0">
      <alignment vertical="center"/>
    </xf>
    <xf numFmtId="183" applyNumberFormat="1" fontId="18" applyFont="1" fillId="0" borderId="43" applyBorder="1" applyAlignment="1" xfId="0">
      <alignment vertical="center"/>
    </xf>
    <xf numFmtId="0" fontId="18" applyFont="1" fillId="0" borderId="44" applyBorder="1" applyAlignment="1" xfId="0">
      <alignment vertical="center"/>
    </xf>
    <xf numFmtId="183" applyNumberFormat="1" fontId="0" fillId="0" borderId="45" applyBorder="1" applyAlignment="1" xfId="0">
      <alignment vertical="center"/>
    </xf>
    <xf numFmtId="0" fontId="0" fillId="34" applyFill="1" borderId="0" applyAlignment="1" xfId="0">
      <alignment vertical="center"/>
    </xf>
    <xf numFmtId="0" fontId="18" applyFont="1" fillId="34" applyFill="1" borderId="46" applyBorder="1" applyAlignment="1" xfId="0">
      <alignment vertical="center"/>
    </xf>
    <xf numFmtId="0" fontId="0" fillId="35" applyFill="1" borderId="0" applyAlignment="1" xfId="0">
      <alignment vertical="center"/>
    </xf>
    <xf numFmtId="0" fontId="18" applyFont="1" fillId="35" applyFill="1" borderId="47" applyBorder="1" applyAlignment="1" xfId="0">
      <alignment vertical="center"/>
    </xf>
    <xf numFmtId="183" applyNumberFormat="1" fontId="0" fillId="35" applyFill="1" borderId="48" applyBorder="1" applyAlignment="1" xfId="0">
      <alignment vertical="center"/>
    </xf>
    <xf numFmtId="183" applyNumberFormat="1" fontId="0" fillId="34" applyFill="1" borderId="49" applyBorder="1" applyAlignment="1" xfId="0">
      <alignment vertical="center"/>
    </xf>
    <xf numFmtId="0" fontId="18" applyFont="1" fillId="0" borderId="50" applyBorder="1" applyAlignment="1" xfId="0">
      <alignment vertical="center"/>
    </xf>
    <xf numFmtId="184" applyNumberFormat="1" fontId="0" fillId="0" borderId="0" applyAlignment="1" xfId="0">
      <alignment horizontal="right" vertical="center"/>
    </xf>
    <xf numFmtId="183" applyNumberFormat="1" fontId="0" fillId="0" borderId="0" applyAlignment="1" xfId="0">
      <alignment horizontal="right" vertical="center"/>
    </xf>
    <xf numFmtId="185" applyNumberFormat="1" fontId="0" fillId="0" borderId="0" applyAlignment="1" xfId="0">
      <alignment vertical="center"/>
    </xf>
    <xf numFmtId="185" applyNumberFormat="1" fontId="0" fillId="0" borderId="0" applyAlignment="1" xfId="0">
      <alignment horizontal="right" vertical="center"/>
    </xf>
    <xf numFmtId="0" fontId="19" applyFont="1" fillId="33" applyFill="1" borderId="0" applyAlignment="1" xfId="0">
      <alignment vertical="center"/>
    </xf>
    <xf numFmtId="0" fontId="0" fillId="0" borderId="51" applyBorder="1" applyAlignment="1" xfId="0">
      <alignment horizontal="right" vertical="center"/>
    </xf>
    <xf numFmtId="183" applyNumberFormat="1" fontId="0" fillId="0" borderId="52" applyBorder="1" applyAlignment="1" xfId="0">
      <alignment vertical="center"/>
    </xf>
    <xf numFmtId="181" applyNumberFormat="1" fontId="0" fillId="0" borderId="53" applyBorder="1" applyAlignment="1" xfId="0">
      <alignment vertical="center"/>
    </xf>
    <xf numFmtId="0" fontId="0" fillId="0" borderId="54" applyBorder="1" applyAlignment="1" xfId="0">
      <alignment horizontal="right" vertical="center"/>
    </xf>
    <xf numFmtId="183" applyNumberFormat="1" fontId="0" fillId="0" borderId="55" applyBorder="1" applyAlignment="1" xfId="0">
      <alignment vertical="center"/>
    </xf>
    <xf numFmtId="181" applyNumberFormat="1" fontId="0" fillId="0" borderId="56" applyBorder="1" applyAlignment="1" xfId="0">
      <alignment vertical="center"/>
    </xf>
    <xf numFmtId="0" fontId="18" applyFont="1" fillId="34" applyFill="1" borderId="57" applyBorder="1" applyAlignment="1" xfId="0">
      <alignment vertical="center"/>
    </xf>
    <xf numFmtId="0" fontId="18" applyFont="1" fillId="35" applyFill="1" borderId="58" applyBorder="1" applyAlignment="1" xfId="0">
      <alignment vertical="center"/>
    </xf>
    <xf numFmtId="0" fontId="0" fillId="35" applyFill="1" borderId="59" applyBorder="1" applyAlignment="1" xfId="0">
      <alignment horizontal="right" vertical="center"/>
    </xf>
    <xf numFmtId="183" applyNumberFormat="1" fontId="0" fillId="35" applyFill="1" borderId="60" applyBorder="1" applyAlignment="1" xfId="0">
      <alignment vertical="center"/>
    </xf>
    <xf numFmtId="181" applyNumberFormat="1" fontId="0" fillId="35" applyFill="1" borderId="61" applyBorder="1" applyAlignment="1" xfId="0">
      <alignment vertical="center"/>
    </xf>
    <xf numFmtId="0" fontId="0" fillId="34" applyFill="1" borderId="62" applyBorder="1" applyAlignment="1" xfId="0">
      <alignment horizontal="right" vertical="center"/>
    </xf>
    <xf numFmtId="183" applyNumberFormat="1" fontId="0" fillId="34" applyFill="1" borderId="63" applyBorder="1" applyAlignment="1" xfId="0">
      <alignment vertical="center"/>
    </xf>
    <xf numFmtId="181" applyNumberFormat="1" fontId="0" fillId="34" applyFill="1" borderId="64" applyBorder="1" applyAlignment="1" xfId="0">
      <alignment vertical="center"/>
    </xf>
    <xf numFmtId="0" fontId="20" applyFont="1" fillId="0" borderId="0" applyAlignment="1" xfId="0">
      <alignment vertical="center"/>
    </xf>
    <xf numFmtId="0" fontId="0" fillId="34" applyFill="1" borderId="0" applyAlignment="1" xfId="0">
      <alignment horizontal="right" vertical="center"/>
    </xf>
    <xf numFmtId="0" fontId="0" fillId="36" applyFill="1" borderId="0" applyAlignment="1" xfId="0">
      <alignment vertical="center"/>
    </xf>
    <xf numFmtId="0" fontId="18" applyFont="1" fillId="36" applyFill="1" borderId="0" applyAlignment="1" xfId="0">
      <alignment vertical="center"/>
    </xf>
    <xf numFmtId="0" fontId="18" applyFont="1" fillId="35" applyFill="1" borderId="0" applyAlignment="1" xfId="0">
      <alignment vertical="center"/>
    </xf>
    <xf numFmtId="0" fontId="18" applyFont="1" fillId="35" applyFill="1" borderId="65" applyBorder="1" applyAlignment="1" xfId="0">
      <alignment vertical="center"/>
    </xf>
    <xf numFmtId="0" fontId="0" fillId="0" borderId="66" applyBorder="1" applyAlignment="1" xfId="0">
      <alignment vertical="center"/>
    </xf>
    <xf numFmtId="0" fontId="18" applyFont="1" fillId="35" applyFill="1" borderId="67" applyBorder="1" applyAlignment="1" xfId="0">
      <alignment vertical="center"/>
    </xf>
    <xf numFmtId="0" fontId="0" fillId="0" borderId="68" applyBorder="1" applyAlignment="1" xfId="0">
      <alignment vertical="center"/>
    </xf>
    <xf numFmtId="183" applyNumberFormat="1" fontId="0" fillId="34" applyFill="1" borderId="0" applyAlignment="1" xfId="0">
      <alignment vertical="center"/>
    </xf>
    <xf numFmtId="0" fontId="21" applyFont="1" fillId="0" borderId="0" applyAlignment="1" xfId="0">
      <alignment vertical="center"/>
    </xf>
    <xf numFmtId="0" fontId="22" applyFont="1" fillId="36" applyFill="1" borderId="0" applyAlignment="1" xfId="0">
      <alignment vertical="center"/>
    </xf>
    <xf numFmtId="0" fontId="0" fillId="37" applyFill="1" borderId="0" applyAlignment="1" xfId="0">
      <alignment vertical="center"/>
    </xf>
    <xf numFmtId="183" applyNumberFormat="1" fontId="0" fillId="37" applyFill="1" borderId="0" applyAlignment="1" xfId="0">
      <alignment vertical="center"/>
    </xf>
    <xf numFmtId="183" applyNumberFormat="1" fontId="18" applyFont="1" fillId="37" applyFill="1" borderId="0" applyAlignment="1" xfId="0">
      <alignment vertical="center"/>
    </xf>
    <xf numFmtId="183" applyNumberFormat="1" fontId="18" applyFont="1" fillId="37" applyFill="1" borderId="69" applyBorder="1" applyAlignment="1" xfId="0">
      <alignment vertical="center"/>
    </xf>
    <xf numFmtId="0" fontId="22" applyFont="1" fillId="36" applyFill="1" borderId="70" applyBorder="1" applyAlignment="1" xfId="0">
      <alignment vertical="center"/>
    </xf>
    <xf numFmtId="183" applyNumberFormat="1" fontId="18" applyFont="1" fillId="37" applyFill="1" borderId="71" applyBorder="1" applyAlignment="1" xfId="0">
      <alignment vertical="center"/>
    </xf>
    <xf numFmtId="0" fontId="22" applyFont="1" fillId="36" applyFill="1" borderId="72" applyBorder="1" applyAlignment="1" xfId="0">
      <alignment vertical="center"/>
    </xf>
    <xf numFmtId="183" applyNumberFormat="1" fontId="18" applyFont="1" fillId="37" applyFill="1" borderId="73" applyBorder="1" applyAlignment="1" xfId="0">
      <alignment vertical="center"/>
    </xf>
    <xf numFmtId="0" fontId="22" applyFont="1" fillId="36" applyFill="1" borderId="74" applyBorder="1" applyAlignment="1" xfId="0">
      <alignment vertical="center"/>
    </xf>
    <xf numFmtId="183" applyNumberFormat="1" fontId="18" applyFont="1" fillId="37" applyFill="1" borderId="75" applyBorder="1" applyAlignment="1" xfId="0">
      <alignment vertical="center"/>
    </xf>
    <xf numFmtId="0" fontId="22" applyFont="1" fillId="36" applyFill="1" borderId="76" applyBorder="1" applyAlignment="1" xfId="0">
      <alignment vertical="center"/>
    </xf>
    <xf numFmtId="183" applyNumberFormat="1" fontId="18" applyFont="1" fillId="37" applyFill="1" borderId="77" applyBorder="1" applyAlignment="1" xfId="0">
      <alignment vertical="center"/>
    </xf>
    <xf numFmtId="0" fontId="22" applyFont="1" fillId="36" applyFill="1" borderId="78" applyBorder="1" applyAlignment="1" xfId="0">
      <alignment vertical="center"/>
    </xf>
    <xf numFmtId="0" fontId="22" applyFont="1" fillId="36" applyFill="1" borderId="79" applyBorder="1" applyAlignment="1" xfId="0">
      <alignment vertical="center"/>
    </xf>
    <xf numFmtId="183" applyNumberFormat="1" fontId="18" applyFont="1" fillId="37" applyFill="1" borderId="80" applyBorder="1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36" applyFill="1" borderId="81" applyBorder="1" applyAlignment="1" xfId="0">
      <alignment vertical="center"/>
    </xf>
    <xf numFmtId="0" fontId="25" applyFont="1" fillId="0" borderId="0" applyAlignment="1" xfId="0">
      <alignment vertical="center"/>
    </xf>
    <xf numFmtId="0" fontId="26" applyFont="1" fillId="36" applyFill="1" borderId="82" applyBorder="1" applyAlignment="1" xfId="0">
      <alignment vertical="center"/>
    </xf>
    <xf numFmtId="0" fontId="0" fillId="0" borderId="83" applyBorder="1" applyAlignment="1" xfId="0">
      <alignment vertical="center"/>
    </xf>
    <xf numFmtId="0" fontId="18" applyFont="1" fillId="0" borderId="84" applyBorder="1" applyAlignment="1" xfId="0">
      <alignment vertical="center"/>
    </xf>
    <xf numFmtId="0" fontId="18" applyFont="1" fillId="0" borderId="85" applyBorder="1" applyAlignment="1" xfId="0">
      <alignment vertical="center"/>
    </xf>
    <xf numFmtId="0" fontId="18" applyFont="1" fillId="0" borderId="86" applyBorder="1" applyAlignment="1" xfId="0">
      <alignment vertical="center"/>
    </xf>
    <xf numFmtId="0" fontId="0" fillId="0" borderId="87" applyBorder="1" applyAlignment="1" xfId="0">
      <alignment vertical="center"/>
    </xf>
    <xf numFmtId="0" fontId="18" applyFont="1" fillId="0" borderId="88" applyBorder="1" applyAlignment="1" xfId="0">
      <alignment vertical="center"/>
    </xf>
    <xf numFmtId="0" fontId="0" fillId="0" borderId="89" applyBorder="1" applyAlignment="1" xfId="0">
      <alignment vertical="center"/>
    </xf>
    <xf numFmtId="0" fontId="18" applyFont="1" fillId="0" borderId="90" applyBorder="1" applyAlignment="1" xfId="0">
      <alignment vertical="center"/>
    </xf>
    <xf numFmtId="0" fontId="0" fillId="0" borderId="91" applyBorder="1" applyAlignment="1" xfId="0">
      <alignment vertical="center"/>
    </xf>
    <xf numFmtId="0" fontId="18" applyFont="1" fillId="0" borderId="92" applyBorder="1" applyAlignment="1" xfId="0">
      <alignment vertical="center"/>
    </xf>
    <xf numFmtId="0" fontId="0" fillId="0" borderId="93" applyBorder="1" applyAlignment="1" xfId="0">
      <alignment vertical="center"/>
    </xf>
    <xf numFmtId="0" fontId="18" applyFont="1" fillId="0" borderId="94" applyBorder="1" applyAlignment="1" xfId="0">
      <alignment vertical="center"/>
    </xf>
    <xf numFmtId="0" fontId="18" applyFont="1" fillId="0" borderId="95" applyBorder="1" applyAlignment="1" xfId="0">
      <alignment vertical="center"/>
    </xf>
    <xf numFmtId="0" fontId="18" applyFont="1" fillId="0" borderId="96" applyBorder="1" applyAlignment="1" xfId="0">
      <alignment vertical="center"/>
    </xf>
    <xf numFmtId="0" fontId="0" fillId="0" borderId="97" applyBorder="1" applyAlignment="1" xfId="0">
      <alignment vertical="center"/>
    </xf>
    <xf numFmtId="0" fontId="18" applyFont="1" fillId="0" borderId="98" applyBorder="1" applyAlignment="1" xfId="0">
      <alignment vertical="center"/>
    </xf>
    <xf numFmtId="0" fontId="0" fillId="21" applyFill="1" borderId="0" applyAlignment="1" xfId="0">
      <alignment vertical="center"/>
    </xf>
    <xf numFmtId="0" fontId="18" applyFont="1" fillId="21" applyFill="1" borderId="99" applyBorder="1" applyAlignment="1" xfId="0">
      <alignment vertical="center"/>
    </xf>
    <xf numFmtId="0" fontId="18" applyFont="1" fillId="21" applyFill="1" borderId="100" applyBorder="1" applyAlignment="1" xfId="0">
      <alignment vertical="center"/>
    </xf>
    <xf numFmtId="0" fontId="0" fillId="38" applyFill="1" borderId="0" applyAlignment="1" xfId="0">
      <alignment vertical="center"/>
    </xf>
    <xf numFmtId="0" fontId="0" fillId="38" applyFill="1" borderId="101" applyBorder="1" applyAlignment="1" xfId="0">
      <alignment vertical="center"/>
    </xf>
    <xf numFmtId="0" fontId="18" applyFont="1" fillId="38" applyFill="1" borderId="102" applyBorder="1" applyAlignment="1" xfId="0">
      <alignment vertical="center"/>
    </xf>
    <xf numFmtId="0" fontId="0" fillId="39" applyFill="1" borderId="0" applyAlignment="1" xfId="0">
      <alignment vertical="center"/>
    </xf>
    <xf numFmtId="0" fontId="0" fillId="39" applyFill="1" borderId="103" applyBorder="1" applyAlignment="1" xfId="0">
      <alignment vertical="center"/>
    </xf>
    <xf numFmtId="0" fontId="18" applyFont="1" fillId="39" applyFill="1" borderId="104" applyBorder="1" applyAlignment="1" xfId="0">
      <alignment vertical="center"/>
    </xf>
    <xf numFmtId="0" fontId="0" fillId="39" applyFill="1" borderId="105" applyBorder="1" applyAlignment="1" xfId="0">
      <alignment vertical="center"/>
    </xf>
    <xf numFmtId="0" fontId="18" applyFont="1" fillId="39" applyFill="1" borderId="106" applyBorder="1" applyAlignment="1" xfId="0">
      <alignment vertical="center"/>
    </xf>
    <xf numFmtId="0" fontId="0" fillId="0" borderId="107" applyBorder="1" applyAlignment="1" xfId="0">
      <alignment vertical="center"/>
    </xf>
    <xf numFmtId="0" fontId="0" fillId="39" applyFill="1" borderId="108" applyBorder="1" applyAlignment="1" xfId="0">
      <alignment vertical="center"/>
    </xf>
    <xf numFmtId="0" fontId="18" applyFont="1" fillId="39" applyFill="1" borderId="109" applyBorder="1" applyAlignment="1" xfId="0">
      <alignment vertical="center"/>
    </xf>
    <xf numFmtId="0" fontId="0" fillId="0" borderId="0" applyAlignment="1" xfId="0">
      <alignment vertical="center"/>
    </xf>
    <xf numFmtId="0" fontId="27" applyFont="1" fillId="40" applyFill="1" borderId="0" applyAlignment="1" xfId="0">
      <alignment vertical="center"/>
    </xf>
    <xf numFmtId="0" fontId="28" applyFont="1" fillId="41" applyFill="1" borderId="0" applyAlignment="1" xfId="0">
      <alignment vertical="center"/>
    </xf>
    <xf numFmtId="0" fontId="29" applyFont="1" fillId="42" applyFill="1" borderId="0" applyAlignment="1" xfId="0">
      <alignment vertical="center"/>
    </xf>
    <xf numFmtId="0" fontId="30" applyFont="1" fillId="43" applyFill="1" borderId="110" applyBorder="1" applyAlignment="1" xfId="0">
      <alignment vertical="center"/>
    </xf>
    <xf numFmtId="0" fontId="31" applyFont="1" fillId="44" applyFill="1" borderId="111" applyBorder="1" applyAlignment="1" xfId="0">
      <alignment vertical="center"/>
    </xf>
    <xf numFmtId="0" fontId="32" applyFont="1" fillId="0" borderId="0" applyAlignment="1" xfId="0">
      <alignment vertical="center"/>
    </xf>
    <xf numFmtId="0" fontId="33" applyFont="1" fillId="0" borderId="0" applyAlignment="1" xfId="0">
      <alignment vertical="center"/>
    </xf>
    <xf numFmtId="0" fontId="34" applyFont="1" fillId="0" borderId="112" applyBorder="1" applyAlignment="1" xfId="0">
      <alignment vertical="center"/>
    </xf>
    <xf numFmtId="0" fontId="35" applyFont="1" fillId="43" applyFill="1" borderId="113" applyBorder="1" applyAlignment="1" xfId="0">
      <alignment vertical="center"/>
    </xf>
    <xf numFmtId="0" fontId="36" applyFont="1" fillId="45" applyFill="1" borderId="114" applyBorder="1" applyAlignment="1" xfId="0">
      <alignment vertical="center"/>
    </xf>
    <xf numFmtId="0" fontId="0" fillId="46" applyFill="1" borderId="115" applyBorder="1" applyAlignment="1" xfId="0">
      <alignment vertical="center"/>
    </xf>
    <xf numFmtId="0" fontId="37" applyFont="1" fillId="0" borderId="0" applyAlignment="1" xfId="0">
      <alignment vertical="center"/>
    </xf>
    <xf numFmtId="0" fontId="38" applyFont="1" fillId="0" borderId="116" applyBorder="1" applyAlignment="1" xfId="0">
      <alignment vertical="center"/>
    </xf>
    <xf numFmtId="0" fontId="39" applyFont="1" fillId="0" borderId="117" applyBorder="1" applyAlignment="1" xfId="0">
      <alignment vertical="center"/>
    </xf>
    <xf numFmtId="0" fontId="40" applyFont="1" fillId="0" borderId="118" applyBorder="1" applyAlignment="1" xfId="0">
      <alignment vertical="center"/>
    </xf>
    <xf numFmtId="0" fontId="40" applyFont="1" fillId="0" borderId="0" applyAlignment="1" xfId="0">
      <alignment vertical="center"/>
    </xf>
    <xf numFmtId="0" fontId="41" applyFont="1" fillId="0" borderId="119" applyBorder="1" applyAlignment="1" xfId="0">
      <alignment vertical="center"/>
    </xf>
    <xf numFmtId="0" fontId="42" applyFont="1" fillId="47" applyFill="1" borderId="0" applyAlignment="1" xfId="0">
      <alignment vertical="center"/>
    </xf>
    <xf numFmtId="0" fontId="42" applyFont="1" fillId="48" applyFill="1" borderId="0" applyAlignment="1" xfId="0">
      <alignment vertical="center"/>
    </xf>
    <xf numFmtId="0" fontId="42" applyFont="1" fillId="49" applyFill="1" borderId="0" applyAlignment="1" xfId="0">
      <alignment vertical="center"/>
    </xf>
    <xf numFmtId="0" fontId="42" applyFont="1" fillId="50" applyFill="1" borderId="0" applyAlignment="1" xfId="0">
      <alignment vertical="center"/>
    </xf>
    <xf numFmtId="0" fontId="42" applyFont="1" fillId="51" applyFill="1" borderId="0" applyAlignment="1" xfId="0">
      <alignment vertical="center"/>
    </xf>
    <xf numFmtId="0" fontId="42" applyFont="1" fillId="52" applyFill="1" borderId="0" applyAlignment="1" xfId="0">
      <alignment vertical="center"/>
    </xf>
    <xf numFmtId="0" fontId="42" applyFont="1" fillId="53" applyFill="1" borderId="0" applyAlignment="1" xfId="0">
      <alignment vertical="center"/>
    </xf>
    <xf numFmtId="0" fontId="42" applyFont="1" fillId="54" applyFill="1" borderId="0" applyAlignment="1" xfId="0">
      <alignment vertical="center"/>
    </xf>
    <xf numFmtId="0" fontId="42" applyFont="1" fillId="55" applyFill="1" borderId="0" applyAlignment="1" xfId="0">
      <alignment vertical="center"/>
    </xf>
    <xf numFmtId="0" fontId="42" applyFont="1" fillId="56" applyFill="1" borderId="0" applyAlignment="1" xfId="0">
      <alignment vertical="center"/>
    </xf>
    <xf numFmtId="0" fontId="42" applyFont="1" fillId="57" applyFill="1" borderId="0" applyAlignment="1" xfId="0">
      <alignment vertical="center"/>
    </xf>
    <xf numFmtId="0" fontId="42" applyFont="1" fillId="58" applyFill="1" borderId="0" applyAlignment="1" xfId="0">
      <alignment vertical="center"/>
    </xf>
    <xf numFmtId="0" fontId="43" applyFont="1" fillId="59" applyFill="1" borderId="0" applyAlignment="1" xfId="0">
      <alignment vertical="center"/>
    </xf>
    <xf numFmtId="0" fontId="43" applyFont="1" fillId="60" applyFill="1" borderId="0" applyAlignment="1" xfId="0">
      <alignment vertical="center"/>
    </xf>
    <xf numFmtId="0" fontId="43" applyFont="1" fillId="61" applyFill="1" borderId="0" applyAlignment="1" xfId="0">
      <alignment vertical="center"/>
    </xf>
    <xf numFmtId="0" fontId="43" applyFont="1" fillId="62" applyFill="1" borderId="0" applyAlignment="1" xfId="0">
      <alignment vertical="center"/>
    </xf>
    <xf numFmtId="0" fontId="43" applyFont="1" fillId="63" applyFill="1" borderId="0" applyAlignment="1" xfId="0">
      <alignment vertical="center"/>
    </xf>
    <xf numFmtId="0" fontId="43" applyFont="1" fillId="64" applyFill="1" borderId="0" applyAlignment="1" xfId="0">
      <alignment vertical="center"/>
    </xf>
    <xf numFmtId="0" fontId="43" applyFont="1" fillId="65" applyFill="1" borderId="0" applyAlignment="1" xfId="0">
      <alignment vertical="center"/>
    </xf>
    <xf numFmtId="0" fontId="43" applyFont="1" fillId="66" applyFill="1" borderId="0" applyAlignment="1" xfId="0">
      <alignment vertical="center"/>
    </xf>
    <xf numFmtId="0" fontId="43" applyFont="1" fillId="67" applyFill="1" borderId="0" applyAlignment="1" xfId="0">
      <alignment vertical="center"/>
    </xf>
    <xf numFmtId="0" fontId="43" applyFont="1" fillId="68" applyFill="1" borderId="0" applyAlignment="1" xfId="0">
      <alignment vertical="center"/>
    </xf>
    <xf numFmtId="0" fontId="43" applyFont="1" fillId="69" applyFill="1" borderId="0" applyAlignment="1" xfId="0">
      <alignment vertical="center"/>
    </xf>
    <xf numFmtId="0" fontId="43" applyFont="1" fillId="70" applyFill="1" borderId="0" applyAlignment="1" xfId="0">
      <alignment vertical="center"/>
    </xf>
    <xf numFmtId="176" applyNumberFormat="1" fontId="0" fillId="0" borderId="0" applyAlignment="1" xfId="0">
      <alignment vertical="center"/>
    </xf>
    <xf numFmtId="177" applyNumberFormat="1" fontId="0" fillId="0" borderId="0" applyAlignment="1" xfId="0">
      <alignment vertical="center"/>
    </xf>
    <xf numFmtId="178" applyNumberFormat="1" fontId="0" fillId="0" borderId="0" applyAlignment="1" xfId="0">
      <alignment vertical="center"/>
    </xf>
    <xf numFmtId="179" applyNumberFormat="1" fontId="0" fillId="0" borderId="0" applyAlignment="1" xfId="0">
      <alignment vertical="center"/>
    </xf>
    <xf numFmtId="186" applyNumberFormat="1" fontId="0" fillId="0" borderId="0" applyAlignment="1" xfId="0">
      <alignment vertical="center"/>
    </xf>
    <xf numFmtId="0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0" applyAlignment="1" xfId="0">
      <alignment horizontal="right" vertical="center"/>
    </xf>
    <xf numFmtId="183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181" applyNumberFormat="1" fontId="0" fillId="34" applyFill="1" borderId="120" applyBorder="1" applyAlignment="1" xfId="0">
      <alignment vertical="center"/>
    </xf>
    <xf numFmtId="0" fontId="0" fillId="34" applyFill="1" borderId="121" applyBorder="1" applyAlignment="1" xfId="0">
      <alignment horizontal="right" vertical="center"/>
    </xf>
    <xf numFmtId="183" applyNumberFormat="1" fontId="0" fillId="34" applyFill="1" borderId="122" applyBorder="1" applyAlignment="1" xfId="0">
      <alignment vertical="center"/>
    </xf>
    <xf numFmtId="0" fontId="0" fillId="0" borderId="0" applyAlignment="1" xfId="0">
      <alignment vertical="center"/>
    </xf>
    <xf numFmtId="0" fontId="0" fillId="0" borderId="123" applyBorder="1" applyAlignment="1" xfId="0">
      <alignment vertical="center"/>
    </xf>
    <xf numFmtId="0" fontId="0" fillId="0" borderId="124" applyBorder="1" applyAlignment="1" xfId="0">
      <alignment horizontal="right" vertical="center"/>
    </xf>
    <xf numFmtId="183" applyNumberFormat="1" fontId="0" fillId="0" borderId="125" applyBorder="1" applyAlignment="1" xfId="0">
      <alignment vertical="center"/>
    </xf>
    <xf numFmtId="181" applyNumberFormat="1" fontId="0" fillId="0" borderId="126" applyBorder="1" applyAlignment="1" xfId="0">
      <alignment vertical="center"/>
    </xf>
    <xf numFmtId="181" applyNumberFormat="1" fontId="0" fillId="0" borderId="126" applyBorder="1" applyAlignment="1" xfId="0">
      <alignment vertical="center"/>
    </xf>
    <xf numFmtId="0" fontId="0" fillId="0" borderId="128" applyBorder="1" applyAlignment="1" xfId="0">
      <alignment vertical="center"/>
    </xf>
    <xf numFmtId="0" fontId="0" fillId="0" borderId="129" applyBorder="1" applyAlignment="1" xfId="0">
      <alignment horizontal="right" vertical="center"/>
    </xf>
    <xf numFmtId="183" applyNumberFormat="1" fontId="0" fillId="0" borderId="130" applyBorder="1" applyAlignment="1" xfId="0">
      <alignment vertical="center"/>
    </xf>
    <xf numFmtId="181" applyNumberFormat="1" fontId="0" fillId="0" borderId="131" applyBorder="1" applyAlignment="1" xfId="0">
      <alignment vertical="center"/>
    </xf>
    <xf numFmtId="181" applyNumberFormat="1" fontId="0" fillId="0" borderId="131" applyBorder="1" applyAlignment="1" xfId="0">
      <alignment vertical="center"/>
    </xf>
    <xf numFmtId="0" fontId="0" fillId="34" applyFill="1" borderId="133" applyBorder="1" applyAlignment="1" xfId="0">
      <alignment horizontal="right" vertical="center"/>
    </xf>
    <xf numFmtId="183" applyNumberFormat="1" fontId="0" fillId="34" applyFill="1" borderId="134" applyBorder="1" applyAlignment="1" xfId="0">
      <alignment vertical="center"/>
    </xf>
    <xf numFmtId="181" applyNumberFormat="1" fontId="0" fillId="34" applyFill="1" borderId="135" applyBorder="1" applyAlignment="1" xfId="0">
      <alignment vertical="center"/>
    </xf>
    <xf numFmtId="0" fontId="0" fillId="34" applyFill="1" borderId="136" applyBorder="1" applyAlignment="1" xfId="0">
      <alignment horizontal="right" vertical="center"/>
    </xf>
    <xf numFmtId="183" applyNumberFormat="1" fontId="0" fillId="34" applyFill="1" borderId="137" applyBorder="1" applyAlignment="1" xfId="0">
      <alignment vertical="center"/>
    </xf>
    <xf numFmtId="181" applyNumberFormat="1" fontId="0" fillId="34" applyFill="1" borderId="138" applyBorder="1" applyAlignment="1" xfId="0">
      <alignment vertical="center"/>
    </xf>
    <xf numFmtId="0" fontId="0" fillId="0" borderId="139" applyBorder="1" applyAlignment="1" xfId="0">
      <alignment vertical="center"/>
    </xf>
    <xf numFmtId="0" fontId="0" fillId="34" applyFill="1" borderId="140" applyBorder="1" applyAlignment="1" xfId="0">
      <alignment horizontal="right" vertical="center"/>
    </xf>
    <xf numFmtId="183" applyNumberFormat="1" fontId="0" fillId="34" applyFill="1" borderId="141" applyBorder="1" applyAlignment="1" xfId="0">
      <alignment vertical="center"/>
    </xf>
    <xf numFmtId="181" applyNumberFormat="1" fontId="0" fillId="34" applyFill="1" borderId="142" applyBorder="1" applyAlignment="1" xfId="0">
      <alignment vertical="center"/>
    </xf>
    <xf numFmtId="0" fontId="0" fillId="0" borderId="143" applyBorder="1" applyAlignment="1" xfId="0">
      <alignment vertical="center"/>
    </xf>
    <xf numFmtId="0" fontId="0" fillId="34" applyFill="1" borderId="144" applyBorder="1" applyAlignment="1" xfId="0">
      <alignment horizontal="right" vertical="center"/>
    </xf>
    <xf numFmtId="183" applyNumberFormat="1" fontId="0" fillId="34" applyFill="1" borderId="145" applyBorder="1" applyAlignment="1" xfId="0">
      <alignment vertical="center"/>
    </xf>
    <xf numFmtId="181" applyNumberFormat="1" fontId="0" fillId="34" applyFill="1" borderId="146" applyBorder="1" applyAlignment="1" xfId="0">
      <alignment vertical="center"/>
    </xf>
    <xf numFmtId="0" fontId="0" fillId="71" applyFill="1" borderId="0" applyAlignment="1" xfId="0">
      <alignment vertical="center"/>
    </xf>
    <xf numFmtId="0" fontId="44" applyFont="1" fillId="0" borderId="0" applyAlignment="1" xfId="0">
      <alignment vertical="center"/>
    </xf>
    <xf numFmtId="0" fontId="45" applyFont="1" fillId="0" borderId="0" applyAlignment="1" xfId="0">
      <alignment vertical="center"/>
    </xf>
    <xf numFmtId="0" fontId="45" applyFont="1" fillId="71" applyFill="1" borderId="0" applyAlignment="1" xfId="0">
      <alignment vertical="center"/>
    </xf>
    <xf numFmtId="0" fontId="46" applyFont="1" fillId="0" borderId="0" applyAlignment="1" xfId="0">
      <alignment vertical="center"/>
    </xf>
    <xf numFmtId="0" fontId="47" applyFont="1" fillId="71" applyFill="1" borderId="0" applyAlignment="1" xfId="0">
      <alignment vertical="center"/>
    </xf>
    <xf numFmtId="0" fontId="48" applyFont="1" fillId="0" borderId="0" applyAlignment="1" xfId="0">
      <alignment vertical="center"/>
    </xf>
    <xf numFmtId="0" fontId="49" applyFont="1" fillId="71" applyFill="1" borderId="0" applyAlignment="1" xfId="0">
      <alignment vertical="center"/>
    </xf>
    <xf numFmtId="0" fontId="50" applyFont="1" fillId="0" borderId="0" applyAlignment="1" xfId="0">
      <alignment vertical="center"/>
    </xf>
    <xf numFmtId="0" fontId="51" applyFont="1" fillId="71" applyFill="1" borderId="0" applyAlignment="1" xfId="0">
      <alignment vertical="center"/>
    </xf>
    <xf numFmtId="0" fontId="52" applyFont="1" fillId="0" borderId="0" applyAlignment="1" xfId="0">
      <alignment vertical="center"/>
    </xf>
    <xf numFmtId="0" fontId="53" applyFont="1" fillId="71" applyFill="1" borderId="0" applyAlignment="1" xfId="0">
      <alignment vertical="center"/>
    </xf>
    <xf numFmtId="0" fontId="54" applyFont="1" fillId="0" borderId="0" applyAlignment="1" xfId="0">
      <alignment vertical="center"/>
    </xf>
    <xf numFmtId="0" fontId="55" applyFont="1" fillId="71" applyFill="1" borderId="0" applyAlignment="1" xfId="0">
      <alignment vertical="center"/>
    </xf>
    <xf numFmtId="0" fontId="56" applyFont="1" fillId="0" borderId="0" applyAlignment="1" xfId="0">
      <alignment vertical="center"/>
    </xf>
    <xf numFmtId="0" fontId="57" applyFont="1" fillId="71" applyFill="1" borderId="0" applyAlignment="1" xfId="0">
      <alignment vertical="center"/>
    </xf>
    <xf numFmtId="0" fontId="58" applyFont="1" fillId="0" borderId="0" applyAlignment="1" xfId="0">
      <alignment vertical="center"/>
    </xf>
    <xf numFmtId="0" fontId="59" applyFont="1" fillId="71" applyFill="1" borderId="0" applyAlignment="1" xfId="0">
      <alignment vertical="center"/>
    </xf>
    <xf numFmtId="0" fontId="18" applyFont="1" fillId="0" borderId="0" applyAlignment="1" xfId="0">
      <alignment vertical="center"/>
    </xf>
    <xf numFmtId="0" fontId="60" applyFont="1" fillId="71" applyFill="1" borderId="0" applyAlignment="1" xfId="0">
      <alignment vertical="center"/>
    </xf>
    <xf numFmtId="0" fontId="21" applyFont="1" fillId="0" borderId="0" applyAlignment="1" xfId="0">
      <alignment vertical="center"/>
    </xf>
    <xf numFmtId="0" fontId="61" applyFont="1" fillId="71" applyFill="1" borderId="0" applyAlignment="1" xfId="0">
      <alignment vertical="center"/>
    </xf>
    <xf numFmtId="0" fontId="0" fillId="0" borderId="0" applyAlignment="1" xfId="0">
      <alignment horizontal="right" vertical="center"/>
    </xf>
    <xf numFmtId="183" applyNumberFormat="1" fontId="0" fillId="0" borderId="0" applyAlignment="1" xfId="0">
      <alignment vertical="center"/>
    </xf>
    <xf numFmtId="181" applyNumberFormat="1" fontId="0" fillId="0" borderId="0" applyAlignment="1" xfId="0">
      <alignment vertical="center"/>
    </xf>
    <xf numFmtId="0" fontId="0" fillId="0" borderId="147" applyBorder="1" applyAlignment="1" xfId="0">
      <alignment horizontal="right" vertical="center"/>
    </xf>
    <xf numFmtId="183" applyNumberFormat="1" fontId="0" fillId="0" borderId="148" applyBorder="1" applyAlignment="1" xfId="0">
      <alignment vertical="center"/>
    </xf>
    <xf numFmtId="181" applyNumberFormat="1" fontId="0" fillId="0" borderId="149" applyBorder="1" applyAlignment="1" xfId="0">
      <alignment vertical="center"/>
    </xf>
    <xf numFmtId="0" fontId="0" fillId="0" borderId="150" applyBorder="1" applyAlignment="1" xfId="0">
      <alignment horizontal="right" vertical="center"/>
    </xf>
    <xf numFmtId="183" applyNumberFormat="1" fontId="0" fillId="0" borderId="151" applyBorder="1" applyAlignment="1" xfId="0">
      <alignment vertical="center"/>
    </xf>
    <xf numFmtId="181" applyNumberFormat="1" fontId="0" fillId="0" borderId="152" applyBorder="1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cap="all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Day 1 Sales</a:t>
            </a:r>
          </a:p>
        </c:rich>
      </c:tx>
      <c:layout/>
      <c:overlay val="0"/>
      <c:spPr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Charts!$C$2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4F81BD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'Charts'!$B$3:$B$9</c:f>
              <c:strCache>
                <c:ptCount val="7"/>
                <c:pt idx="0">
                  <c:v>Banana Loaf</c:v>
                </c:pt>
                <c:pt idx="1">
                  <c:v>Cupcake</c:v>
                </c:pt>
                <c:pt idx="2">
                  <c:v>Tulip Cake</c:v>
                </c:pt>
                <c:pt idx="3">
                  <c:v>Mini Cupcake</c:v>
                </c:pt>
                <c:pt idx="4">
                  <c:v>Brownies</c:v>
                </c:pt>
                <c:pt idx="5">
                  <c:v>Egg Tart</c:v>
                </c:pt>
                <c:pt idx="6">
                  <c:v>Juice</c:v>
                </c:pt>
              </c:strCache>
            </c:strRef>
          </c:cat>
          <c:val>
            <c:numRef>
              <c:f>'Charts'!$C$3:$C$9</c:f>
              <c:numCache>
                <c:formatCode>General</c:formatCode>
                <c:ptCount val="7"/>
                <c:pt idx="0">
                  <c:v>8.0</c:v>
                </c:pt>
                <c:pt idx="1">
                  <c:v>1.0</c:v>
                </c:pt>
                <c:pt idx="2">
                  <c:v>1.0</c:v>
                </c:pt>
                <c:pt idx="3">
                  <c:v>2.0</c:v>
                </c:pt>
                <c:pt idx="4">
                  <c:v>2.0</c:v>
                </c:pt>
                <c:pt idx="5">
                  <c:v>7.0</c:v>
                </c:pt>
                <c:pt idx="6">
                  <c:v>0.0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8D8D8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8D8D8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Customer Type - Day 1</a:t>
            </a:r>
          </a:p>
        </c:rich>
      </c:tx>
      <c:layout/>
      <c:overlay val="0"/>
      <c:spPr>
        <a:ln>
          <a:noFill/>
        </a:ln>
      </c:spPr>
    </c:title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'Charts'!$E$3:$E$7</c:f>
              <c:strCache>
                <c:ptCount val="5"/>
                <c:pt idx="0">
                  <c:v>Child</c:v>
                </c:pt>
                <c:pt idx="1">
                  <c:v>Student</c:v>
                </c:pt>
                <c:pt idx="2">
                  <c:v>Teenager</c:v>
                </c:pt>
                <c:pt idx="3">
                  <c:v>Adult</c:v>
                </c:pt>
                <c:pt idx="4">
                  <c:v>Elderly</c:v>
                </c:pt>
              </c:strCache>
            </c:strRef>
          </c:cat>
          <c:val>
            <c:numRef>
              <c:f>'Charts'!$F$3:$F$7</c:f>
              <c:numCache>
                <c:formatCode>General</c:formatCode>
                <c:ptCount val="5"/>
                <c:pt idx="0">
                  <c:v>0.0</c:v>
                </c:pt>
                <c:pt idx="1">
                  <c:v>2.0</c:v>
                </c:pt>
                <c:pt idx="2">
                  <c:v>0.0</c:v>
                </c:pt>
                <c:pt idx="3">
                  <c:v>19.0</c:v>
                </c:pt>
                <c:pt idx="4">
                  <c:v>0.0</c:v>
                </c:pt>
              </c:numCache>
            </c:numRef>
          </c:val>
        </c:ser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 w="12700">
            <a:solidFill>
              <a:srgbClr val="D8D8D8"/>
            </a:solidFill>
            <a:prstDash val="solid"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b"/>
        <c:majorGridlines>
          <c:spPr>
            <a:ln w="12700">
              <a:solidFill>
                <a:srgbClr val="D8D8D8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8D8D8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438142</xdr:colOff>
      <xdr:row>14</xdr:row>
      <xdr:rowOff>135675</xdr:rowOff>
    </xdr:from>
    <xdr:to>
      <xdr:col>5</xdr:col>
      <xdr:colOff>231207</xdr:colOff>
      <xdr:row>27</xdr:row>
      <xdr:rowOff>142871</xdr:rowOff>
    </xdr:to>
    <xdr:graphicFrame>
      <xdr:nvGraphicFramePr>
        <xdr:cNvPr id="2" name="Chart"/>
        <xdr:cNvGraphicFramePr/>
      </xdr:nvGraphicFramePr>
      <xdr:xfrm>
        <a:off x="438142" y="2802634"/>
        <a:ext cx="4041150" cy="2483659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twoCell">
    <xdr:from>
      <xdr:col>0</xdr:col>
      <xdr:colOff>504816</xdr:colOff>
      <xdr:row>29</xdr:row>
      <xdr:rowOff>76197</xdr:rowOff>
    </xdr:from>
    <xdr:to>
      <xdr:col>5</xdr:col>
      <xdr:colOff>66673</xdr:colOff>
      <xdr:row>41</xdr:row>
      <xdr:rowOff>9523</xdr:rowOff>
    </xdr:to>
    <xdr:graphicFrame>
      <xdr:nvGraphicFramePr>
        <xdr:cNvPr id="3" name="Chart"/>
        <xdr:cNvGraphicFramePr/>
      </xdr:nvGraphicFramePr>
      <xdr:xfrm>
        <a:off x="504816" y="5600613"/>
        <a:ext cx="3809942" cy="2219291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M42"/>
  <sheetViews>
    <sheetView tabSelected="1" zoomScale="52" zoomScaleNormal="52" topLeftCell="B1" workbookViewId="0">
      <pane ySplit="1" topLeftCell="B2" activePane="bottomLeft" state="frozen"/>
      <selection activeCell="P15" activeCellId="0" sqref="P15"/>
      <selection pane="bottomLeft" activeCell="P15" activeCellId="0" sqref="P15"/>
    </sheetView>
  </sheetViews>
  <sheetFormatPr defaultRowHeight="15.0" defaultColWidth="9.0" x14ac:dyDescent="0.15"/>
  <cols>
    <col min="1" max="1" width="22.125" customWidth="1"/>
    <col min="2" max="2" width="16.875" customWidth="1"/>
    <col min="3" max="3" width="17.125" customWidth="1"/>
    <col min="4" max="4" width="22.5" customWidth="1"/>
    <col min="5" max="5" width="20.625" customWidth="1"/>
    <col min="6" max="6" width="16.375" customWidth="1"/>
    <col min="7" max="7" width="9.0"/>
    <col min="8" max="8" width="16.125" customWidth="1"/>
    <col min="9" max="9" width="9.0"/>
    <col min="10" max="10" width="15.25" customWidth="1"/>
    <col min="11" max="11" width="16.5" customWidth="1"/>
    <col min="12" max="13" width="16.375" customWidth="1"/>
  </cols>
  <sheetData>
    <row r="1" spans="1:1" s="261" customFormat="1" ht="41.99936" x14ac:dyDescent="0.15">
      <c r="A1" s="282" t="s">
        <v>0</v>
      </c>
    </row>
    <row r="3" spans="3:13" x14ac:dyDescent="0.15">
      <c r="C3" s="111" t="s">
        <v>1</v>
      </c>
      <c r="D3" s="111" t="s">
        <v>2</v>
      </c>
      <c r="E3" s="111" t="s">
        <v>3</v>
      </c>
      <c r="F3" s="111" t="s">
        <v>4</v>
      </c>
      <c r="H3" s="51" t="s">
        <v>5</v>
      </c>
      <c r="J3" s="111" t="s">
        <v>1</v>
      </c>
      <c r="K3" s="111" t="s">
        <v>2</v>
      </c>
      <c r="L3" s="111" t="s">
        <v>3</v>
      </c>
      <c r="M3" s="111" t="s">
        <v>4</v>
      </c>
    </row>
    <row r="4" spans="1:13" x14ac:dyDescent="0.15">
      <c r="A4" s="118" t="s">
        <v>6</v>
      </c>
      <c r="C4" s="117">
        <v>46067.0</v>
      </c>
      <c r="D4" s="115" t="s">
        <v>7</v>
      </c>
      <c r="E4" s="116">
        <v>250.0</v>
      </c>
      <c r="F4" s="115" t="s">
        <v>8</v>
      </c>
      <c r="H4" s="103" t="s">
        <v>9</v>
      </c>
      <c r="I4" s="1"/>
      <c r="J4" s="117">
        <v>46068.0</v>
      </c>
      <c r="K4" s="115" t="s">
        <v>7</v>
      </c>
      <c r="L4" s="116">
        <v>240.0</v>
      </c>
      <c r="M4" s="115" t="s">
        <v>8</v>
      </c>
    </row>
    <row r="5" spans="1:13" x14ac:dyDescent="0.15">
      <c r="A5" s="49" t="s">
        <v>10</v>
      </c>
      <c r="C5" s="109">
        <v>46067.0</v>
      </c>
      <c r="D5" s="107" t="s">
        <v>11</v>
      </c>
      <c r="E5" s="108">
        <v>150.0</v>
      </c>
      <c r="F5" s="107" t="s">
        <v>12</v>
      </c>
      <c r="H5" s="103" t="s">
        <v>13</v>
      </c>
      <c r="J5" s="109">
        <v>46068.0</v>
      </c>
      <c r="K5" s="107" t="s">
        <v>11</v>
      </c>
      <c r="L5" s="108">
        <v>150.0</v>
      </c>
      <c r="M5" s="107" t="s">
        <v>8</v>
      </c>
    </row>
    <row r="6" spans="1:13" x14ac:dyDescent="0.15">
      <c r="A6" s="49" t="s">
        <v>14</v>
      </c>
      <c r="C6" s="117">
        <v>46067.0</v>
      </c>
      <c r="D6" s="115" t="s">
        <v>15</v>
      </c>
      <c r="E6" s="116">
        <v>250.0</v>
      </c>
      <c r="F6" s="115" t="s">
        <v>8</v>
      </c>
      <c r="H6" s="103" t="s">
        <v>16</v>
      </c>
      <c r="J6" s="117">
        <v>46068.0</v>
      </c>
      <c r="K6" s="115" t="s">
        <v>17</v>
      </c>
      <c r="L6" s="116">
        <v>130.0</v>
      </c>
      <c r="M6" s="115" t="s">
        <v>8</v>
      </c>
    </row>
    <row r="7" spans="1:13" x14ac:dyDescent="0.15">
      <c r="A7" s="49" t="s">
        <v>18</v>
      </c>
      <c r="C7" s="109">
        <v>46067.0</v>
      </c>
      <c r="D7" s="107" t="s">
        <v>19</v>
      </c>
      <c r="E7" s="108">
        <v>130.0</v>
      </c>
      <c r="F7" s="107" t="s">
        <v>8</v>
      </c>
      <c r="H7" s="103" t="s">
        <v>20</v>
      </c>
      <c r="J7" s="109">
        <v>46068.0</v>
      </c>
      <c r="K7" s="107" t="s">
        <v>7</v>
      </c>
      <c r="L7" s="108">
        <v>240.0</v>
      </c>
      <c r="M7" s="107" t="s">
        <v>8</v>
      </c>
    </row>
    <row r="8" spans="1:13" x14ac:dyDescent="0.15">
      <c r="A8" s="49" t="s">
        <v>21</v>
      </c>
      <c r="C8" s="117">
        <v>46067.0</v>
      </c>
      <c r="D8" s="115" t="s">
        <v>17</v>
      </c>
      <c r="E8" s="116">
        <v>150.0</v>
      </c>
      <c r="F8" s="115" t="s">
        <v>8</v>
      </c>
      <c r="H8" s="103" t="s">
        <v>22</v>
      </c>
      <c r="J8" s="117">
        <v>46068.0</v>
      </c>
      <c r="K8" s="115" t="s">
        <v>7</v>
      </c>
      <c r="L8" s="116">
        <v>240.0</v>
      </c>
      <c r="M8" s="115" t="s">
        <v>8</v>
      </c>
    </row>
    <row r="9" spans="1:13" x14ac:dyDescent="0.15">
      <c r="A9" s="49" t="s">
        <v>23</v>
      </c>
      <c r="C9" s="109">
        <v>46067.0</v>
      </c>
      <c r="D9" s="107" t="s">
        <v>11</v>
      </c>
      <c r="E9" s="108">
        <v>150.0</v>
      </c>
      <c r="F9" s="107" t="s">
        <v>8</v>
      </c>
      <c r="H9" s="103" t="s">
        <v>24</v>
      </c>
      <c r="J9" s="109">
        <v>46068.0</v>
      </c>
      <c r="K9" s="107" t="s">
        <v>11</v>
      </c>
      <c r="L9" s="108">
        <v>140.0</v>
      </c>
      <c r="M9" s="107" t="s">
        <v>8</v>
      </c>
    </row>
    <row r="10" spans="1:13" x14ac:dyDescent="0.15">
      <c r="A10" s="49" t="s">
        <v>25</v>
      </c>
      <c r="C10" s="117">
        <v>46067.0</v>
      </c>
      <c r="D10" s="115" t="s">
        <v>7</v>
      </c>
      <c r="E10" s="116">
        <v>250.0</v>
      </c>
      <c r="F10" s="115" t="s">
        <v>8</v>
      </c>
      <c r="H10" s="103" t="s">
        <v>26</v>
      </c>
      <c r="J10" s="233">
        <v>46068.0</v>
      </c>
      <c r="K10" s="234" t="s">
        <v>7</v>
      </c>
      <c r="L10" s="235">
        <v>240.0</v>
      </c>
      <c r="M10" s="234" t="s">
        <v>8</v>
      </c>
    </row>
    <row r="11" spans="1:13" x14ac:dyDescent="0.15">
      <c r="A11" s="49" t="s">
        <v>27</v>
      </c>
      <c r="C11" s="109">
        <v>46067.0</v>
      </c>
      <c r="D11" s="107" t="s">
        <v>7</v>
      </c>
      <c r="E11" s="108">
        <v>250.0</v>
      </c>
      <c r="F11" s="107" t="s">
        <v>8</v>
      </c>
      <c r="J11" s="246">
        <v>46068</v>
      </c>
      <c r="K11" s="243" t="s">
        <v>7</v>
      </c>
      <c r="L11" s="244">
        <v>240</v>
      </c>
      <c r="M11" s="243" t="s">
        <v>8</v>
      </c>
    </row>
    <row r="12" spans="3:13" x14ac:dyDescent="0.15">
      <c r="C12" s="117">
        <v>46067.0</v>
      </c>
      <c r="D12" s="115" t="s">
        <v>7</v>
      </c>
      <c r="E12" s="116">
        <v>250.0</v>
      </c>
      <c r="F12" s="115" t="s">
        <v>8</v>
      </c>
      <c r="H12" s="95" t="s">
        <v>28</v>
      </c>
      <c r="J12" s="260">
        <v>46068</v>
      </c>
      <c r="K12" s="258" t="s">
        <v>7</v>
      </c>
      <c r="L12" s="259">
        <v>240</v>
      </c>
      <c r="M12" s="258" t="s">
        <v>8</v>
      </c>
    </row>
    <row r="13" spans="1:13" x14ac:dyDescent="0.15">
      <c r="A13" s="95" t="s">
        <v>28</v>
      </c>
      <c r="C13" s="109">
        <v>46067.0</v>
      </c>
      <c r="D13" s="107" t="s">
        <v>7</v>
      </c>
      <c r="E13" s="108">
        <v>250.0</v>
      </c>
      <c r="F13" s="107" t="s">
        <v>8</v>
      </c>
      <c r="H13" s="97">
        <f>SUM(L3:L43)</f>
        <v>2100</v>
      </c>
      <c r="J13" s="245">
        <v>46068</v>
      </c>
      <c r="K13" s="243" t="s">
        <v>7</v>
      </c>
      <c r="L13" s="244">
        <v>240</v>
      </c>
      <c r="M13" s="243" t="s">
        <v>8</v>
      </c>
    </row>
    <row r="14" spans="1:13" x14ac:dyDescent="0.15">
      <c r="A14" s="97">
        <f>SUM(E4:E44)</f>
        <v>3850</v>
      </c>
      <c r="C14" s="117">
        <v>46067.0</v>
      </c>
      <c r="D14" s="115" t="s">
        <v>11</v>
      </c>
      <c r="E14" s="116">
        <v>150.0</v>
      </c>
      <c r="F14" s="115" t="s">
        <v>8</v>
      </c>
      <c r="K14" s="55"/>
      <c r="L14" s="52"/>
      <c r="M14" s="55"/>
    </row>
    <row r="15" spans="3:13" x14ac:dyDescent="0.15">
      <c r="C15" s="109">
        <v>46067.0</v>
      </c>
      <c r="D15" s="107" t="s">
        <v>19</v>
      </c>
      <c r="E15" s="108">
        <v>130.0</v>
      </c>
      <c r="F15" s="107" t="s">
        <v>8</v>
      </c>
      <c r="K15" s="55"/>
      <c r="L15" s="52"/>
      <c r="M15" s="55"/>
    </row>
    <row r="16" spans="3:13" x14ac:dyDescent="0.15">
      <c r="C16" s="117">
        <v>46067.0</v>
      </c>
      <c r="D16" s="115" t="s">
        <v>11</v>
      </c>
      <c r="E16" s="116">
        <v>150.0</v>
      </c>
      <c r="F16" s="115" t="s">
        <v>8</v>
      </c>
      <c r="K16" s="55"/>
      <c r="L16" s="52"/>
      <c r="M16" s="55"/>
    </row>
    <row r="17" spans="1:13" x14ac:dyDescent="0.15">
      <c r="A17" s="143" t="s">
        <v>29</v>
      </c>
      <c r="C17" s="109">
        <v>46067.0</v>
      </c>
      <c r="D17" s="107" t="s">
        <v>11</v>
      </c>
      <c r="E17" s="108">
        <v>150.0</v>
      </c>
      <c r="F17" s="107" t="s">
        <v>12</v>
      </c>
      <c r="K17" s="55"/>
      <c r="L17" s="52"/>
      <c r="M17" s="55"/>
    </row>
    <row r="18" spans="1:13" x14ac:dyDescent="0.15">
      <c r="A18" s="144">
        <f>SUM(A14,H13)</f>
        <v>5950</v>
      </c>
      <c r="C18" s="117">
        <v>46067.0</v>
      </c>
      <c r="D18" s="115" t="s">
        <v>17</v>
      </c>
      <c r="E18" s="116">
        <v>150.0</v>
      </c>
      <c r="F18" s="115" t="s">
        <v>8</v>
      </c>
      <c r="K18" s="55"/>
      <c r="L18" s="100"/>
      <c r="M18" s="55"/>
    </row>
    <row r="19" spans="3:13" x14ac:dyDescent="0.15">
      <c r="C19" s="109">
        <v>46067.0</v>
      </c>
      <c r="D19" s="107" t="s">
        <v>7</v>
      </c>
      <c r="E19" s="108">
        <v>250.0</v>
      </c>
      <c r="F19" s="107" t="s">
        <v>8</v>
      </c>
      <c r="K19" s="55"/>
      <c r="L19" s="52"/>
      <c r="M19" s="55"/>
    </row>
    <row r="20" spans="3:13" x14ac:dyDescent="0.15">
      <c r="C20" s="117">
        <v>46067.0</v>
      </c>
      <c r="D20" s="115" t="s">
        <v>11</v>
      </c>
      <c r="E20" s="116">
        <v>150.0</v>
      </c>
      <c r="F20" s="115" t="s">
        <v>8</v>
      </c>
      <c r="K20" s="55" t="s">
        <v>30</v>
      </c>
      <c r="L20" s="52"/>
      <c r="M20" s="55"/>
    </row>
    <row r="21" spans="3:13" x14ac:dyDescent="0.15">
      <c r="C21" s="109">
        <v>46067.0</v>
      </c>
      <c r="D21" s="107" t="s">
        <v>11</v>
      </c>
      <c r="E21" s="108">
        <v>150.0</v>
      </c>
      <c r="F21" s="107" t="s">
        <v>8</v>
      </c>
      <c r="K21" s="55"/>
      <c r="L21" s="52"/>
      <c r="M21" s="55"/>
    </row>
    <row r="22" spans="3:13" x14ac:dyDescent="0.15">
      <c r="C22" s="117">
        <v>46067.0</v>
      </c>
      <c r="D22" s="115" t="s">
        <v>31</v>
      </c>
      <c r="E22" s="116">
        <v>90.0</v>
      </c>
      <c r="F22" s="115" t="s">
        <v>8</v>
      </c>
      <c r="K22" s="55"/>
      <c r="L22" s="52"/>
      <c r="M22" s="55"/>
    </row>
    <row r="23" spans="3:13" x14ac:dyDescent="0.15">
      <c r="C23" s="109">
        <v>46067.0</v>
      </c>
      <c r="D23" s="107" t="s">
        <v>11</v>
      </c>
      <c r="E23" s="108">
        <v>150.0</v>
      </c>
      <c r="F23" s="107" t="s">
        <v>8</v>
      </c>
      <c r="K23" s="55"/>
      <c r="L23" s="52"/>
      <c r="M23" s="55"/>
    </row>
    <row r="24" spans="3:13" x14ac:dyDescent="0.15">
      <c r="C24" s="117">
        <v>46067.0</v>
      </c>
      <c r="D24" s="115" t="s">
        <v>7</v>
      </c>
      <c r="E24" s="116">
        <v>250.0</v>
      </c>
      <c r="F24" s="115" t="s">
        <v>8</v>
      </c>
      <c r="K24" s="55"/>
      <c r="L24" s="52"/>
      <c r="M24" s="55"/>
    </row>
    <row r="25" spans="6:13" x14ac:dyDescent="0.15">
      <c r="F25" s="55"/>
      <c r="K25" s="55"/>
      <c r="L25" s="52"/>
      <c r="M25" s="55"/>
    </row>
    <row r="26" spans="6:13" x14ac:dyDescent="0.15">
      <c r="F26" s="55"/>
      <c r="K26" s="55"/>
      <c r="L26" s="52"/>
      <c r="M26" s="55"/>
    </row>
    <row r="27" spans="6:13" x14ac:dyDescent="0.15">
      <c r="F27" s="55"/>
      <c r="K27" s="55"/>
      <c r="L27" s="52"/>
      <c r="M27" s="55"/>
    </row>
    <row r="28" spans="6:13" x14ac:dyDescent="0.15">
      <c r="F28" s="55"/>
      <c r="K28" s="55"/>
      <c r="L28" s="52"/>
      <c r="M28" s="55"/>
    </row>
    <row r="29" spans="6:13" x14ac:dyDescent="0.15">
      <c r="F29" s="55"/>
      <c r="K29" s="55"/>
      <c r="L29" s="52"/>
      <c r="M29" s="55"/>
    </row>
    <row r="30" spans="6:13" x14ac:dyDescent="0.15">
      <c r="F30" s="55"/>
      <c r="L30" s="52"/>
      <c r="M30" s="55"/>
    </row>
    <row r="31" spans="6:13" x14ac:dyDescent="0.15">
      <c r="F31" s="55"/>
      <c r="L31" s="52"/>
      <c r="M31" s="55"/>
    </row>
    <row r="32" spans="6:13" x14ac:dyDescent="0.15">
      <c r="F32" s="55"/>
      <c r="L32" s="52"/>
      <c r="M32" s="55"/>
    </row>
    <row r="33" spans="6:13" x14ac:dyDescent="0.15">
      <c r="F33" s="55"/>
      <c r="L33" s="52"/>
      <c r="M33" s="55"/>
    </row>
    <row r="34" spans="6:13" x14ac:dyDescent="0.15">
      <c r="F34" s="55"/>
      <c r="L34" s="52"/>
      <c r="M34" s="55"/>
    </row>
    <row r="35" spans="6:13" x14ac:dyDescent="0.15">
      <c r="F35" s="55"/>
      <c r="L35" s="52"/>
      <c r="M35" s="55"/>
    </row>
    <row r="36" spans="6:13" x14ac:dyDescent="0.15">
      <c r="F36" s="55"/>
      <c r="L36" s="52"/>
      <c r="M36" s="55"/>
    </row>
    <row r="37" spans="6:12" x14ac:dyDescent="0.15">
      <c r="F37" s="55"/>
      <c r="L37" s="52"/>
    </row>
    <row r="38" spans="6:12" x14ac:dyDescent="0.15">
      <c r="F38" s="55"/>
      <c r="L38" s="52"/>
    </row>
    <row r="39" spans="12:12" x14ac:dyDescent="0.15">
      <c r="L39" s="52"/>
    </row>
    <row r="40" spans="12:12" x14ac:dyDescent="0.15">
      <c r="L40" s="52"/>
    </row>
    <row r="41" spans="12:12" x14ac:dyDescent="0.15">
      <c r="L41" s="52"/>
    </row>
    <row r="42" spans="12:12" x14ac:dyDescent="0.15">
      <c r="L42" s="52"/>
    </row>
  </sheetData>
  <autoFilter ref="D3:F24"/>
  <phoneticPr fontId="0" type="noConversion"/>
  <dataValidations count="8">
    <dataValidation allowBlank="1" type="list" sqref="M8" showInputMessage="1" showErrorMessage="1">
      <formula1>"Child, Student, Teenager, Adult, Elderly"</formula1>
    </dataValidation>
    <dataValidation allowBlank="1" type="list" sqref="K8" showInputMessage="1" showErrorMessage="1">
      <formula1>"Banana Loaf, Cupcake, Mini Cupcake, Egg Tart, Brownies, Tulip Cake"</formula1>
    </dataValidation>
    <dataValidation allowBlank="1" type="list" sqref="M9:M36" showInputMessage="1" showErrorMessage="1">
      <formula1>"Child, Student, Teenager, Adult, Elderly"</formula1>
    </dataValidation>
    <dataValidation allowBlank="1" type="list" sqref="M4:M7" showInputMessage="1" showErrorMessage="1">
      <formula1>"Child, Student, Teenager, Adult, Elderly"</formula1>
    </dataValidation>
    <dataValidation allowBlank="1" type="list" sqref="K9:K42" showInputMessage="1" showErrorMessage="1">
      <formula1>"Banana Loaf, Cupcake, Mini Cupcake, Egg Tart, Brownies, Tulip Cake"</formula1>
    </dataValidation>
    <dataValidation allowBlank="1" type="list" sqref="K4:K7" showInputMessage="1" showErrorMessage="1">
      <formula1>"Banana Loaf, Cupcake, Mini Cupcake, Egg Tart, Brownies, Tulip Cake"</formula1>
    </dataValidation>
    <dataValidation allowBlank="1" type="list" sqref="F4:F1048577" showInputMessage="1" showErrorMessage="1">
      <formula1>"Child, Student, Teenager, Adult, Elderly"</formula1>
    </dataValidation>
    <dataValidation allowBlank="1" type="list" sqref="D4:D1048577" showInputMessage="1" showErrorMessage="1">
      <formula1>"Banana Loaf, Cupcake, Mini Cupcake, Egg Tart, Brownies, Tulip Cake"</formula1>
    </dataValidation>
  </dataValidations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19"/>
  <sheetViews>
    <sheetView zoomScale="50" zoomScaleNormal="50" topLeftCell="A5" workbookViewId="0">
      <selection activeCell="G9" activeCellId="0" sqref="G9"/>
    </sheetView>
  </sheetViews>
  <sheetFormatPr defaultRowHeight="15.0" defaultColWidth="9.0" x14ac:dyDescent="0.15"/>
  <cols>
    <col min="1" max="1" width="9.0"/>
    <col min="2" max="2" width="12.625" customWidth="1"/>
    <col min="3" max="3" width="11.875" customWidth="1"/>
    <col min="4" max="4" width="9.0"/>
    <col min="5" max="5" width="13.25" customWidth="1"/>
    <col min="6" max="8" width="9.0"/>
    <col min="9" max="10" width="12.375" customWidth="1"/>
    <col min="11" max="11" width="9.0"/>
    <col min="12" max="12" width="13.625" customWidth="1"/>
    <col min="13" max="14" width="9.0"/>
  </cols>
  <sheetData>
    <row r="2" spans="2:13" x14ac:dyDescent="0.15">
      <c r="B2" s="167" t="s">
        <v>2</v>
      </c>
      <c r="C2" s="166" t="s">
        <v>32</v>
      </c>
      <c r="E2" s="51" t="s">
        <v>4</v>
      </c>
      <c r="F2" s="51" t="s">
        <v>33</v>
      </c>
      <c r="I2" s="167" t="s">
        <v>2</v>
      </c>
      <c r="J2" s="166" t="s">
        <v>32</v>
      </c>
      <c r="L2" s="51" t="s">
        <v>4</v>
      </c>
      <c r="M2" s="51" t="s">
        <v>33</v>
      </c>
    </row>
    <row r="3" spans="1:13" x14ac:dyDescent="0.15">
      <c r="A3" s="1">
        <v>13.0</v>
      </c>
      <c r="B3" s="173" t="s">
        <v>11</v>
      </c>
      <c r="C3" s="172">
        <f>COUNTIF('RawData'!D:D,"Banana Loaf")</f>
        <v>8</v>
      </c>
      <c r="E3" s="1" t="s">
        <v>34</v>
      </c>
      <c r="F3" s="1">
        <f>COUNTIF('RawData'!F:F,"Child")</f>
        <v>0</v>
      </c>
      <c r="H3" s="1">
        <v>5.0</v>
      </c>
      <c r="I3" s="173" t="s">
        <v>11</v>
      </c>
      <c r="J3" s="172">
        <f>COUNTIF('RawData'!K:K,"Banana Loaf")</f>
        <v>2</v>
      </c>
      <c r="L3" s="1" t="s">
        <v>34</v>
      </c>
      <c r="M3" s="1">
        <f>COUNTIF('RawData'!M:M,"Child")</f>
        <v>0</v>
      </c>
    </row>
    <row r="4" spans="1:13" x14ac:dyDescent="0.15">
      <c r="A4" s="1">
        <v>12.0</v>
      </c>
      <c r="B4" s="160" t="s">
        <v>31</v>
      </c>
      <c r="C4" s="82">
        <f>COUNTIF('RawData'!D:D,"Cupcake")</f>
        <v>1</v>
      </c>
      <c r="E4" s="1" t="s">
        <v>12</v>
      </c>
      <c r="F4" s="1">
        <f>COUNTIF('RawData'!F:F,"Student")</f>
        <v>2</v>
      </c>
      <c r="H4" s="1">
        <v>10.0</v>
      </c>
      <c r="I4" s="160" t="s">
        <v>31</v>
      </c>
      <c r="J4" s="82">
        <f>COUNTIF('RawData'!K:K,"Cupcake")</f>
        <v>0</v>
      </c>
      <c r="L4" s="1" t="s">
        <v>12</v>
      </c>
      <c r="M4" s="1">
        <f>COUNTIF('RawData'!M:M,"Student")</f>
        <v>0</v>
      </c>
    </row>
    <row r="5" spans="1:13" x14ac:dyDescent="0.15">
      <c r="A5" s="1">
        <v>2.0</v>
      </c>
      <c r="B5" s="173" t="s">
        <v>15</v>
      </c>
      <c r="C5" s="172">
        <f>COUNTIF('RawData'!D:D,"Tulip Cake")</f>
        <v>1</v>
      </c>
      <c r="E5" s="1" t="s">
        <v>35</v>
      </c>
      <c r="F5" s="1">
        <f>COUNTIF('RawData'!F:F,"Teenager")</f>
        <v>0</v>
      </c>
      <c r="H5" s="1">
        <v>0.0</v>
      </c>
      <c r="I5" s="173" t="s">
        <v>15</v>
      </c>
      <c r="J5" s="172">
        <f>COUNTIF('RawData'!K:K,"Tulip Cake")</f>
        <v>0</v>
      </c>
      <c r="L5" s="1" t="s">
        <v>35</v>
      </c>
      <c r="M5" s="1">
        <f>COUNTIF('RawData'!M:M,"Teenager")</f>
        <v>0</v>
      </c>
    </row>
    <row r="6" spans="1:13" x14ac:dyDescent="0.15">
      <c r="A6" s="1">
        <v>4.0</v>
      </c>
      <c r="B6" s="160" t="s">
        <v>19</v>
      </c>
      <c r="C6" s="82">
        <f>COUNTIF('RawData'!D:D,"Mini Cupcake")</f>
        <v>2</v>
      </c>
      <c r="E6" s="1" t="s">
        <v>8</v>
      </c>
      <c r="F6" s="1">
        <f>COUNTIF('RawData'!F:F,"Adult")</f>
        <v>19</v>
      </c>
      <c r="H6" s="1">
        <v>2.0</v>
      </c>
      <c r="I6" s="160" t="s">
        <v>19</v>
      </c>
      <c r="J6" s="82">
        <f>COUNTIF('RawData'!K:K,"Mini Cupcake")</f>
        <v>0</v>
      </c>
      <c r="L6" s="1" t="s">
        <v>8</v>
      </c>
      <c r="M6" s="1">
        <f>COUNTIF('RawData'!M:M,"Adult")</f>
        <v>10</v>
      </c>
    </row>
    <row r="7" spans="1:13" x14ac:dyDescent="0.15">
      <c r="A7" s="1">
        <v>7.0</v>
      </c>
      <c r="B7" s="173" t="s">
        <v>17</v>
      </c>
      <c r="C7" s="172">
        <f>COUNTIF('RawData'!D:D,"Brownies")</f>
        <v>2</v>
      </c>
      <c r="E7" s="1" t="s">
        <v>36</v>
      </c>
      <c r="F7" s="1">
        <f>COUNTIF('RawData'!F:F,"Elderly")</f>
        <v>0</v>
      </c>
      <c r="H7" s="1">
        <v>5.0</v>
      </c>
      <c r="I7" s="173" t="s">
        <v>17</v>
      </c>
      <c r="J7" s="172">
        <f>COUNTIF('RawData'!K:K,"Brownies")</f>
        <v>1</v>
      </c>
      <c r="L7" s="1" t="s">
        <v>36</v>
      </c>
      <c r="M7" s="1">
        <f>COUNTIF('RawData'!M:M,"Elderly")</f>
        <v>0</v>
      </c>
    </row>
    <row r="8" spans="1:10" x14ac:dyDescent="0.15">
      <c r="A8" s="1">
        <v>13.0</v>
      </c>
      <c r="B8" s="160" t="s">
        <v>7</v>
      </c>
      <c r="C8" s="82">
        <f>COUNTIF('RawData'!D:D,"Egg Tart")</f>
        <v>7</v>
      </c>
      <c r="H8" s="1">
        <v>13.0</v>
      </c>
      <c r="I8" s="160" t="s">
        <v>7</v>
      </c>
      <c r="J8" s="82">
        <f>COUNTIF('RawData'!K:K,"Egg Tart")</f>
        <v>7</v>
      </c>
    </row>
    <row r="9" spans="2:10" x14ac:dyDescent="0.15">
      <c r="B9" s="178" t="s">
        <v>37</v>
      </c>
      <c r="C9" s="177">
        <f>COUNTIF('RawData'!D:D,"Juice")</f>
        <v>0</v>
      </c>
      <c r="I9" s="178" t="s">
        <v>37</v>
      </c>
      <c r="J9" s="177">
        <f>COUNTIF('RawData'!K:K,"Juice")</f>
        <v>0</v>
      </c>
    </row>
    <row r="19" spans="1:1" x14ac:dyDescent="0.15">
      <c r="A19" s="1" t="s">
        <v>38</v>
      </c>
    </row>
  </sheetData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1829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created xsi:type="dcterms:W3CDTF">2024-04-18T03:23:06Z</dcterms:created>
  <dcterms:modified xsi:type="dcterms:W3CDTF">2026-02-15T13:01:41Z</dcterms:modified>
</cp:coreProperties>
</file>