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iamj\Downloads\Downloads\"/>
    </mc:Choice>
  </mc:AlternateContent>
  <xr:revisionPtr revIDLastSave="0" documentId="8_{DBD9A98F-4515-4146-B785-99F77D97E4EF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RawData" sheetId="1" r:id="rId1"/>
    <sheet name="Charts" sheetId="2" r:id="rId2"/>
  </sheets>
  <definedNames>
    <definedName name="_xlnm._FilterDatabase" localSheetId="0" hidden="1">RawData!D3:F24</definedName>
  </definedName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9" i="2" l="1"/>
  <c r="C9" i="2"/>
  <c r="J8" i="2"/>
  <c r="C8" i="2"/>
  <c r="M7" i="2"/>
  <c r="J7" i="2"/>
  <c r="F7" i="2"/>
  <c r="C7" i="2"/>
  <c r="M6" i="2"/>
  <c r="J6" i="2"/>
  <c r="F6" i="2"/>
  <c r="C6" i="2"/>
  <c r="M5" i="2"/>
  <c r="J5" i="2"/>
  <c r="F5" i="2"/>
  <c r="C5" i="2"/>
  <c r="M4" i="2"/>
  <c r="J4" i="2"/>
  <c r="F4" i="2"/>
  <c r="C4" i="2"/>
  <c r="M3" i="2"/>
  <c r="J3" i="2"/>
  <c r="F3" i="2"/>
  <c r="C3" i="2"/>
  <c r="A14" i="1"/>
  <c r="A18" i="1" s="1"/>
  <c r="H13" i="1"/>
</calcChain>
</file>

<file path=xl/sharedStrings.xml><?xml version="1.0" encoding="utf-8"?>
<sst xmlns="http://schemas.openxmlformats.org/spreadsheetml/2006/main" count="138" uniqueCount="39">
  <si>
    <t>Date</t>
  </si>
  <si>
    <t>Product</t>
  </si>
  <si>
    <t>Price</t>
  </si>
  <si>
    <t>Customer Type</t>
  </si>
  <si>
    <t>Day 2</t>
  </si>
  <si>
    <t>Day 1</t>
  </si>
  <si>
    <t>Egg Tart</t>
  </si>
  <si>
    <t>Adult</t>
  </si>
  <si>
    <t>Banana Loaf 150</t>
  </si>
  <si>
    <t>Banana Loaf</t>
  </si>
  <si>
    <t>Student</t>
  </si>
  <si>
    <t>Tulip Cake 250</t>
  </si>
  <si>
    <t>Tulip Cake</t>
  </si>
  <si>
    <t>Brownies</t>
  </si>
  <si>
    <t>Mini Cupcake 130</t>
  </si>
  <si>
    <t>Mini Cupcake</t>
  </si>
  <si>
    <t>Cupcake 90</t>
  </si>
  <si>
    <t>Brownies 150</t>
  </si>
  <si>
    <t>Egg Tart 250</t>
  </si>
  <si>
    <t>Juice 50</t>
  </si>
  <si>
    <t>Total</t>
  </si>
  <si>
    <t xml:space="preserve">           </t>
  </si>
  <si>
    <t>Cupcake</t>
  </si>
  <si>
    <t>Quantity Sold</t>
  </si>
  <si>
    <t>Quantity</t>
  </si>
  <si>
    <t>Child</t>
  </si>
  <si>
    <t>Teenager</t>
  </si>
  <si>
    <t>Elderly</t>
  </si>
  <si>
    <t>Juice</t>
  </si>
  <si>
    <t xml:space="preserve"> </t>
  </si>
  <si>
    <t>Raw Data</t>
  </si>
  <si>
    <r>
      <t xml:space="preserve">Banana Loaf  - </t>
    </r>
    <r>
      <rPr>
        <b/>
        <sz val="11"/>
        <rFont val="Abadi"/>
        <family val="2"/>
      </rPr>
      <t>140</t>
    </r>
    <r>
      <rPr>
        <sz val="11"/>
        <rFont val="Abadi"/>
        <family val="2"/>
      </rPr>
      <t>_x000D_</t>
    </r>
  </si>
  <si>
    <r>
      <t xml:space="preserve">Tulip Cake - </t>
    </r>
    <r>
      <rPr>
        <b/>
        <sz val="11"/>
        <rFont val="Abadi"/>
        <family val="2"/>
      </rPr>
      <t>250</t>
    </r>
    <r>
      <rPr>
        <sz val="11"/>
        <rFont val="Abadi"/>
        <family val="2"/>
      </rPr>
      <t>_x000D_</t>
    </r>
  </si>
  <si>
    <r>
      <t>Mini Cupcake -</t>
    </r>
    <r>
      <rPr>
        <b/>
        <sz val="11"/>
        <rFont val="Abadi"/>
        <family val="2"/>
      </rPr>
      <t xml:space="preserve"> 120</t>
    </r>
    <r>
      <rPr>
        <sz val="11"/>
        <rFont val="Abadi"/>
        <family val="2"/>
      </rPr>
      <t>_x000D_</t>
    </r>
  </si>
  <si>
    <r>
      <t xml:space="preserve">Cupcake - </t>
    </r>
    <r>
      <rPr>
        <b/>
        <sz val="11"/>
        <rFont val="Abadi"/>
        <family val="2"/>
      </rPr>
      <t>60</t>
    </r>
    <r>
      <rPr>
        <sz val="11"/>
        <rFont val="Abadi"/>
        <family val="2"/>
      </rPr>
      <t>_x000D_</t>
    </r>
  </si>
  <si>
    <r>
      <t xml:space="preserve">Brownies - </t>
    </r>
    <r>
      <rPr>
        <b/>
        <sz val="11"/>
        <rFont val="Abadi"/>
        <family val="2"/>
      </rPr>
      <t>140</t>
    </r>
    <r>
      <rPr>
        <sz val="11"/>
        <rFont val="Abadi"/>
        <family val="2"/>
      </rPr>
      <t>_x000D_</t>
    </r>
  </si>
  <si>
    <r>
      <t xml:space="preserve">Egg Tart - </t>
    </r>
    <r>
      <rPr>
        <b/>
        <sz val="11"/>
        <rFont val="Abadi"/>
        <family val="2"/>
      </rPr>
      <t>240</t>
    </r>
    <r>
      <rPr>
        <sz val="11"/>
        <rFont val="Abadi"/>
        <family val="2"/>
      </rPr>
      <t>_x000D_</t>
    </r>
  </si>
  <si>
    <r>
      <t xml:space="preserve">Juice - </t>
    </r>
    <r>
      <rPr>
        <b/>
        <sz val="11"/>
        <rFont val="Abadi"/>
        <family val="2"/>
      </rPr>
      <t>50</t>
    </r>
    <r>
      <rPr>
        <sz val="11"/>
        <rFont val="Abadi"/>
        <family val="2"/>
      </rPr>
      <t>_x000D_</t>
    </r>
  </si>
  <si>
    <t>TOTAL SALES (ALL-IN-ALL)_x000D_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</si>
</sst>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8" formatCode="yyyy\/m\/d"/>
    <numFmt numFmtId="170" formatCode="[$Php-3409]#,##0.00;\-[$Php-3409]#,##0.00"/>
  </numFmts>
  <fonts count="6" x14ac:knownFonts="1">
    <font>
      <sz val="11"/>
      <name val="Roboto"/>
      <family val="1"/>
    </font>
    <font>
      <b/>
      <sz val="11"/>
      <name val="Roboto"/>
      <family val="1"/>
    </font>
    <font>
      <b/>
      <sz val="29"/>
      <color rgb="FFFFFFFF"/>
      <name val="Aharoni"/>
      <charset val="177"/>
    </font>
    <font>
      <sz val="11"/>
      <name val="Abadi"/>
      <family val="2"/>
    </font>
    <font>
      <b/>
      <sz val="11"/>
      <name val="Abadi"/>
      <family val="2"/>
    </font>
    <font>
      <b/>
      <sz val="11"/>
      <color rgb="FFFFFFFF"/>
      <name val="Abadi"/>
      <family val="2"/>
    </font>
  </fonts>
  <fills count="12">
    <fill>
      <patternFill patternType="none"/>
    </fill>
    <fill>
      <patternFill patternType="gray125"/>
    </fill>
    <fill>
      <patternFill patternType="solid">
        <fgColor rgb="FF95B3D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EBF1DD"/>
        <bgColor indexed="64"/>
      </patternFill>
    </fill>
    <fill>
      <patternFill patternType="solid">
        <fgColor rgb="FFA9BE7A"/>
        <bgColor indexed="64"/>
      </patternFill>
    </fill>
    <fill>
      <patternFill patternType="solid">
        <fgColor rgb="FF76923C"/>
        <bgColor indexed="64"/>
      </patternFill>
    </fill>
    <fill>
      <patternFill patternType="solid">
        <fgColor rgb="FFD7E3BC"/>
        <bgColor indexed="64"/>
      </patternFill>
    </fill>
    <fill>
      <patternFill patternType="solid">
        <fgColor rgb="FFC6D9F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 style="thin">
        <color rgb="FF000000"/>
      </top>
      <bottom style="thick">
        <color rgb="FF000000"/>
      </bottom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>
      <alignment vertical="center"/>
    </xf>
  </cellStyleXfs>
  <cellXfs count="41">
    <xf numFmtId="0" fontId="0" fillId="0" borderId="0" xfId="0">
      <alignment vertical="center"/>
    </xf>
    <xf numFmtId="0" fontId="1" fillId="0" borderId="0" xfId="0" applyFont="1">
      <alignment vertical="center"/>
    </xf>
    <xf numFmtId="0" fontId="0" fillId="0" borderId="2" xfId="0" applyBorder="1">
      <alignment vertical="center"/>
    </xf>
    <xf numFmtId="0" fontId="1" fillId="0" borderId="14" xfId="0" applyFont="1" applyBorder="1">
      <alignment vertical="center"/>
    </xf>
    <xf numFmtId="0" fontId="1" fillId="2" borderId="15" xfId="0" applyFont="1" applyFill="1" applyBorder="1">
      <alignment vertical="center"/>
    </xf>
    <xf numFmtId="0" fontId="1" fillId="2" borderId="16" xfId="0" applyFont="1" applyFill="1" applyBorder="1">
      <alignment vertical="center"/>
    </xf>
    <xf numFmtId="0" fontId="0" fillId="8" borderId="17" xfId="0" applyFill="1" applyBorder="1">
      <alignment vertical="center"/>
    </xf>
    <xf numFmtId="0" fontId="1" fillId="8" borderId="18" xfId="0" applyFont="1" applyFill="1" applyBorder="1">
      <alignment vertical="center"/>
    </xf>
    <xf numFmtId="0" fontId="0" fillId="8" borderId="19" xfId="0" applyFill="1" applyBorder="1">
      <alignment vertical="center"/>
    </xf>
    <xf numFmtId="0" fontId="1" fillId="8" borderId="20" xfId="0" applyFont="1" applyFill="1" applyBorder="1">
      <alignment vertical="center"/>
    </xf>
    <xf numFmtId="0" fontId="2" fillId="9" borderId="0" xfId="0" applyFont="1" applyFill="1" applyAlignment="1">
      <alignment vertical="center"/>
    </xf>
    <xf numFmtId="0" fontId="0" fillId="9" borderId="0" xfId="0" applyFill="1">
      <alignment vertical="center"/>
    </xf>
    <xf numFmtId="0" fontId="3" fillId="0" borderId="0" xfId="0" applyFont="1">
      <alignment vertical="center"/>
    </xf>
    <xf numFmtId="0" fontId="4" fillId="5" borderId="8" xfId="0" applyFont="1" applyFill="1" applyBorder="1">
      <alignment vertical="center"/>
    </xf>
    <xf numFmtId="0" fontId="4" fillId="0" borderId="0" xfId="0" applyFont="1">
      <alignment vertical="center"/>
    </xf>
    <xf numFmtId="168" fontId="3" fillId="4" borderId="11" xfId="0" applyNumberFormat="1" applyFont="1" applyFill="1" applyBorder="1">
      <alignment vertical="center"/>
    </xf>
    <xf numFmtId="0" fontId="3" fillId="4" borderId="9" xfId="0" applyFont="1" applyFill="1" applyBorder="1" applyAlignment="1">
      <alignment horizontal="right" vertical="center"/>
    </xf>
    <xf numFmtId="170" fontId="3" fillId="4" borderId="10" xfId="0" applyNumberFormat="1" applyFont="1" applyFill="1" applyBorder="1">
      <alignment vertical="center"/>
    </xf>
    <xf numFmtId="0" fontId="3" fillId="3" borderId="0" xfId="0" applyFont="1" applyFill="1">
      <alignment vertical="center"/>
    </xf>
    <xf numFmtId="168" fontId="3" fillId="0" borderId="7" xfId="0" applyNumberFormat="1" applyFont="1" applyBorder="1">
      <alignment vertical="center"/>
    </xf>
    <xf numFmtId="0" fontId="3" fillId="0" borderId="5" xfId="0" applyFont="1" applyBorder="1" applyAlignment="1">
      <alignment horizontal="right" vertical="center"/>
    </xf>
    <xf numFmtId="170" fontId="3" fillId="0" borderId="6" xfId="0" applyNumberFormat="1" applyFont="1" applyBorder="1">
      <alignment vertical="center"/>
    </xf>
    <xf numFmtId="168" fontId="3" fillId="4" borderId="21" xfId="0" applyNumberFormat="1" applyFont="1" applyFill="1" applyBorder="1">
      <alignment vertical="center"/>
    </xf>
    <xf numFmtId="0" fontId="3" fillId="4" borderId="22" xfId="0" applyFont="1" applyFill="1" applyBorder="1" applyAlignment="1">
      <alignment horizontal="right" vertical="center"/>
    </xf>
    <xf numFmtId="170" fontId="3" fillId="4" borderId="23" xfId="0" applyNumberFormat="1" applyFont="1" applyFill="1" applyBorder="1">
      <alignment vertical="center"/>
    </xf>
    <xf numFmtId="168" fontId="3" fillId="0" borderId="26" xfId="0" applyNumberFormat="1" applyFont="1" applyBorder="1">
      <alignment vertical="center"/>
    </xf>
    <xf numFmtId="0" fontId="3" fillId="0" borderId="24" xfId="0" applyFont="1" applyBorder="1" applyAlignment="1">
      <alignment horizontal="right" vertical="center"/>
    </xf>
    <xf numFmtId="170" fontId="3" fillId="0" borderId="25" xfId="0" applyNumberFormat="1" applyFont="1" applyBorder="1">
      <alignment vertical="center"/>
    </xf>
    <xf numFmtId="0" fontId="4" fillId="5" borderId="3" xfId="0" applyFont="1" applyFill="1" applyBorder="1">
      <alignment vertical="center"/>
    </xf>
    <xf numFmtId="168" fontId="3" fillId="4" borderId="29" xfId="0" applyNumberFormat="1" applyFont="1" applyFill="1" applyBorder="1">
      <alignment vertical="center"/>
    </xf>
    <xf numFmtId="0" fontId="3" fillId="4" borderId="27" xfId="0" applyFont="1" applyFill="1" applyBorder="1" applyAlignment="1">
      <alignment horizontal="right" vertical="center"/>
    </xf>
    <xf numFmtId="170" fontId="3" fillId="4" borderId="28" xfId="0" applyNumberFormat="1" applyFont="1" applyFill="1" applyBorder="1">
      <alignment vertical="center"/>
    </xf>
    <xf numFmtId="170" fontId="3" fillId="4" borderId="4" xfId="0" applyNumberFormat="1" applyFont="1" applyFill="1" applyBorder="1">
      <alignment vertical="center"/>
    </xf>
    <xf numFmtId="0" fontId="3" fillId="0" borderId="0" xfId="0" applyFont="1" applyAlignment="1">
      <alignment horizontal="right" vertical="center"/>
    </xf>
    <xf numFmtId="170" fontId="3" fillId="0" borderId="0" xfId="0" applyNumberFormat="1" applyFont="1">
      <alignment vertical="center"/>
    </xf>
    <xf numFmtId="0" fontId="5" fillId="6" borderId="12" xfId="0" applyFont="1" applyFill="1" applyBorder="1">
      <alignment vertical="center"/>
    </xf>
    <xf numFmtId="170" fontId="4" fillId="7" borderId="13" xfId="0" applyNumberFormat="1" applyFont="1" applyFill="1" applyBorder="1">
      <alignment vertical="center"/>
    </xf>
    <xf numFmtId="170" fontId="3" fillId="0" borderId="0" xfId="0" applyNumberFormat="1" applyFont="1" applyAlignment="1">
      <alignment horizontal="right" vertical="center"/>
    </xf>
    <xf numFmtId="0" fontId="3" fillId="0" borderId="1" xfId="0" applyFont="1" applyBorder="1">
      <alignment vertical="center"/>
    </xf>
    <xf numFmtId="0" fontId="4" fillId="10" borderId="1" xfId="0" applyFont="1" applyFill="1" applyBorder="1">
      <alignment vertical="center"/>
    </xf>
    <xf numFmtId="0" fontId="3" fillId="11" borderId="1" xfId="0" applyFont="1" applyFill="1" applyBorder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 b="1" i="0" u="none" strike="noStrike" cap="all" baseline="0">
                <a:solidFill>
                  <a:srgbClr val="595959"/>
                </a:solidFill>
                <a:latin typeface="Droid Sans"/>
                <a:ea typeface="Droid Sans"/>
                <a:cs typeface="Lucida Sans"/>
              </a:defRPr>
            </a:pPr>
            <a:r>
              <a:rPr lang="zh-CN"/>
              <a:t>Day 1 Sales</a:t>
            </a:r>
          </a:p>
        </c:rich>
      </c:tx>
      <c:overlay val="0"/>
      <c:spPr>
        <a:ln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Charts!$C$2</c:f>
              <c:strCache>
                <c:ptCount val="1"/>
                <c:pt idx="0">
                  <c:v>Quantity Sold</c:v>
                </c:pt>
              </c:strCache>
            </c:strRef>
          </c:tx>
          <c:spPr>
            <a:solidFill>
              <a:srgbClr val="4F81BD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900" b="1" i="0" u="none" strike="noStrike" baseline="0">
                    <a:solidFill>
                      <a:srgbClr val="4F81BD"/>
                    </a:solidFill>
                    <a:latin typeface="Droid Sans"/>
                    <a:ea typeface="Droid Sans"/>
                    <a:cs typeface="Lucida Sans"/>
                  </a:defRPr>
                </a:pPr>
                <a:endParaRPr lang="zh-CN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Charts!$B$3:$B$9</c:f>
              <c:strCache>
                <c:ptCount val="7"/>
                <c:pt idx="0">
                  <c:v>Banana Loaf</c:v>
                </c:pt>
                <c:pt idx="1">
                  <c:v>Cupcake</c:v>
                </c:pt>
                <c:pt idx="2">
                  <c:v>Tulip Cake</c:v>
                </c:pt>
                <c:pt idx="3">
                  <c:v>Mini Cupcake</c:v>
                </c:pt>
                <c:pt idx="4">
                  <c:v>Brownies</c:v>
                </c:pt>
                <c:pt idx="5">
                  <c:v>Egg Tart</c:v>
                </c:pt>
                <c:pt idx="6">
                  <c:v>Juice</c:v>
                </c:pt>
              </c:strCache>
            </c:strRef>
          </c:cat>
          <c:val>
            <c:numRef>
              <c:f>Charts!$C$3:$C$9</c:f>
              <c:numCache>
                <c:formatCode>General</c:formatCode>
                <c:ptCount val="7"/>
                <c:pt idx="0">
                  <c:v>8</c:v>
                </c:pt>
                <c:pt idx="1">
                  <c:v>1</c:v>
                </c:pt>
                <c:pt idx="2">
                  <c:v>1</c:v>
                </c:pt>
                <c:pt idx="3">
                  <c:v>2</c:v>
                </c:pt>
                <c:pt idx="4">
                  <c:v>2</c:v>
                </c:pt>
                <c:pt idx="5">
                  <c:v>7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D8-42A0-802D-FB21DD4EB4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776670880"/>
        <c:axId val="1"/>
      </c:barChart>
      <c:catAx>
        <c:axId val="177667088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900" b="0" i="0" u="none" strike="noStrike" baseline="0">
                <a:solidFill>
                  <a:srgbClr val="595959"/>
                </a:solidFill>
                <a:latin typeface="Droid Sans"/>
                <a:ea typeface="Droid Sans"/>
                <a:cs typeface="Lucida Sans"/>
              </a:defRPr>
            </a:pPr>
            <a:endParaRPr lang="zh-CN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majorGridlines>
          <c:spPr>
            <a:ln w="12700">
              <a:solidFill>
                <a:srgbClr val="D8D8D8"/>
              </a:solidFill>
              <a:prstDash val="solid"/>
            </a:ln>
          </c:spPr>
        </c:majorGridlines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900" b="0" i="0" u="none" strike="noStrike" baseline="0">
                <a:solidFill>
                  <a:srgbClr val="595959"/>
                </a:solidFill>
                <a:latin typeface="Droid Sans"/>
                <a:ea typeface="Droid Sans"/>
                <a:cs typeface="Lucida Sans"/>
              </a:defRPr>
            </a:pPr>
            <a:endParaRPr lang="zh-CN"/>
          </a:p>
        </c:txPr>
        <c:crossAx val="1776670880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0"/>
  </c:chart>
  <c:spPr>
    <a:solidFill>
      <a:srgbClr val="FFFFFF"/>
    </a:solidFill>
    <a:ln w="12700">
      <a:solidFill>
        <a:srgbClr val="D8D8D8"/>
      </a:solidFill>
      <a:prstDash val="solid"/>
    </a:ln>
  </c:spPr>
  <c:txPr>
    <a:bodyPr/>
    <a:lstStyle/>
    <a:p>
      <a:pPr>
        <a:defRPr sz="900" b="0" i="0" u="none" strike="noStrike" baseline="0">
          <a:solidFill>
            <a:srgbClr val="000000"/>
          </a:solidFill>
          <a:latin typeface="Droid Sans"/>
          <a:ea typeface="Droid Sans"/>
          <a:cs typeface="Lucida Sans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400" b="1" i="0" u="none" strike="noStrike" baseline="0">
                <a:solidFill>
                  <a:srgbClr val="595959"/>
                </a:solidFill>
                <a:latin typeface="Droid Sans"/>
                <a:ea typeface="Droid Sans"/>
                <a:cs typeface="Lucida Sans"/>
              </a:defRPr>
            </a:pPr>
            <a:r>
              <a:rPr lang="zh-CN"/>
              <a:t>Customer Type - Day 1</a:t>
            </a:r>
          </a:p>
        </c:rich>
      </c:tx>
      <c:overlay val="0"/>
      <c:spPr>
        <a:ln>
          <a:noFill/>
        </a:ln>
      </c:sp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Charts!$F$2</c:f>
              <c:strCache>
                <c:ptCount val="1"/>
                <c:pt idx="0">
                  <c:v>Quantity</c:v>
                </c:pt>
              </c:strCache>
            </c:strRef>
          </c:tx>
          <c:spPr>
            <a:solidFill>
              <a:srgbClr val="5B9BD5"/>
            </a:solidFill>
            <a:ln>
              <a:noFill/>
            </a:ln>
          </c:spPr>
          <c:invertIfNegative val="0"/>
          <c:cat>
            <c:strRef>
              <c:f>Charts!$E$3:$E$7</c:f>
              <c:strCache>
                <c:ptCount val="5"/>
                <c:pt idx="0">
                  <c:v>Child</c:v>
                </c:pt>
                <c:pt idx="1">
                  <c:v>Student</c:v>
                </c:pt>
                <c:pt idx="2">
                  <c:v>Teenager</c:v>
                </c:pt>
                <c:pt idx="3">
                  <c:v>Adult</c:v>
                </c:pt>
                <c:pt idx="4">
                  <c:v>Elderly</c:v>
                </c:pt>
              </c:strCache>
            </c:strRef>
          </c:cat>
          <c:val>
            <c:numRef>
              <c:f>Charts!$F$3:$F$7</c:f>
              <c:numCache>
                <c:formatCode>General</c:formatCode>
                <c:ptCount val="5"/>
                <c:pt idx="0">
                  <c:v>0</c:v>
                </c:pt>
                <c:pt idx="1">
                  <c:v>2</c:v>
                </c:pt>
                <c:pt idx="2">
                  <c:v>0</c:v>
                </c:pt>
                <c:pt idx="3">
                  <c:v>19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92E-480F-A9C6-67B9C23A07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888080496"/>
        <c:axId val="1"/>
      </c:barChart>
      <c:catAx>
        <c:axId val="1888080496"/>
        <c:scaling>
          <c:orientation val="minMax"/>
        </c:scaling>
        <c:delete val="0"/>
        <c:axPos val="l"/>
        <c:numFmt formatCode="General" sourceLinked="0"/>
        <c:majorTickMark val="none"/>
        <c:minorTickMark val="none"/>
        <c:tickLblPos val="nextTo"/>
        <c:spPr>
          <a:ln w="12700">
            <a:solidFill>
              <a:srgbClr val="D8D8D8"/>
            </a:solidFill>
            <a:prstDash val="solid"/>
          </a:ln>
        </c:spPr>
        <c:txPr>
          <a:bodyPr/>
          <a:lstStyle/>
          <a:p>
            <a:pPr>
              <a:defRPr sz="900" b="0" i="0" u="none" strike="noStrike" baseline="0">
                <a:solidFill>
                  <a:srgbClr val="595959"/>
                </a:solidFill>
                <a:latin typeface="Droid Sans"/>
                <a:ea typeface="Droid Sans"/>
                <a:cs typeface="Lucida Sans"/>
              </a:defRPr>
            </a:pPr>
            <a:endParaRPr lang="zh-CN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b"/>
        <c:majorGridlines>
          <c:spPr>
            <a:ln w="12700">
              <a:solidFill>
                <a:srgbClr val="D8D8D8"/>
              </a:solidFill>
              <a:prstDash val="solid"/>
            </a:ln>
          </c:spPr>
        </c:majorGridlines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900" b="0" i="0" u="none" strike="noStrike" baseline="0">
                <a:solidFill>
                  <a:srgbClr val="595959"/>
                </a:solidFill>
                <a:latin typeface="Droid Sans"/>
                <a:ea typeface="Droid Sans"/>
                <a:cs typeface="Lucida Sans"/>
              </a:defRPr>
            </a:pPr>
            <a:endParaRPr lang="zh-CN"/>
          </a:p>
        </c:txPr>
        <c:crossAx val="1888080496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0"/>
  </c:chart>
  <c:spPr>
    <a:solidFill>
      <a:srgbClr val="FFFFFF"/>
    </a:solidFill>
    <a:ln w="12700">
      <a:solidFill>
        <a:srgbClr val="D8D8D8"/>
      </a:solidFill>
      <a:prstDash val="solid"/>
    </a:ln>
  </c:spPr>
  <c:txPr>
    <a:bodyPr/>
    <a:lstStyle/>
    <a:p>
      <a:pPr>
        <a:defRPr sz="900" b="0" i="0" u="none" strike="noStrike" baseline="0">
          <a:solidFill>
            <a:srgbClr val="000000"/>
          </a:solidFill>
          <a:latin typeface="Droid Sans"/>
          <a:ea typeface="Droid Sans"/>
          <a:cs typeface="Lucida Sans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504817</xdr:colOff>
      <xdr:row>11</xdr:row>
      <xdr:rowOff>154725</xdr:rowOff>
    </xdr:from>
    <xdr:to>
      <xdr:col>5</xdr:col>
      <xdr:colOff>297882</xdr:colOff>
      <xdr:row>24</xdr:row>
      <xdr:rowOff>161921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476241</xdr:colOff>
      <xdr:row>26</xdr:row>
      <xdr:rowOff>47622</xdr:rowOff>
    </xdr:from>
    <xdr:to>
      <xdr:col>5</xdr:col>
      <xdr:colOff>38098</xdr:colOff>
      <xdr:row>37</xdr:row>
      <xdr:rowOff>171448</xdr:rowOff>
    </xdr:to>
    <xdr:graphicFrame macro="">
      <xdr:nvGraphicFramePr>
        <xdr:cNvPr id="3" name="Chart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42"/>
  <sheetViews>
    <sheetView workbookViewId="0">
      <selection activeCell="F28" sqref="F28"/>
    </sheetView>
  </sheetViews>
  <sheetFormatPr defaultRowHeight="15" x14ac:dyDescent="0.25"/>
  <cols>
    <col min="1" max="1" width="24.875" style="12" bestFit="1" customWidth="1"/>
    <col min="2" max="2" width="9" style="12"/>
    <col min="3" max="3" width="10.25" style="12" bestFit="1" customWidth="1"/>
    <col min="4" max="4" width="12" style="12" bestFit="1" customWidth="1"/>
    <col min="5" max="5" width="10.125" style="12" bestFit="1" customWidth="1"/>
    <col min="6" max="6" width="13.875" style="12" bestFit="1" customWidth="1"/>
    <col min="7" max="7" width="9" style="12"/>
    <col min="8" max="8" width="18" style="12" bestFit="1" customWidth="1"/>
    <col min="9" max="9" width="9" style="12"/>
    <col min="10" max="10" width="10.25" style="12" bestFit="1" customWidth="1"/>
    <col min="11" max="11" width="10.875" style="12" bestFit="1" customWidth="1"/>
    <col min="12" max="12" width="10.125" style="12" bestFit="1" customWidth="1"/>
    <col min="13" max="13" width="13.875" style="12" bestFit="1" customWidth="1"/>
    <col min="14" max="15" width="9" style="12"/>
    <col min="16" max="16" width="12" style="12" bestFit="1" customWidth="1"/>
    <col min="17" max="17" width="13.5" style="12" bestFit="1" customWidth="1"/>
    <col min="18" max="16384" width="9" style="12"/>
  </cols>
  <sheetData>
    <row r="1" spans="1:17" s="11" customFormat="1" ht="37.5" x14ac:dyDescent="0.25">
      <c r="A1" s="10" t="s">
        <v>30</v>
      </c>
    </row>
    <row r="3" spans="1:17" x14ac:dyDescent="0.25">
      <c r="C3" s="13" t="s">
        <v>0</v>
      </c>
      <c r="D3" s="13" t="s">
        <v>1</v>
      </c>
      <c r="E3" s="13" t="s">
        <v>2</v>
      </c>
      <c r="F3" s="13" t="s">
        <v>3</v>
      </c>
      <c r="H3" s="14" t="s">
        <v>4</v>
      </c>
      <c r="J3" s="13" t="s">
        <v>0</v>
      </c>
      <c r="K3" s="13" t="s">
        <v>1</v>
      </c>
      <c r="L3" s="13" t="s">
        <v>2</v>
      </c>
      <c r="M3" s="13" t="s">
        <v>3</v>
      </c>
      <c r="P3" s="39" t="s">
        <v>1</v>
      </c>
      <c r="Q3" s="39" t="s">
        <v>3</v>
      </c>
    </row>
    <row r="4" spans="1:17" x14ac:dyDescent="0.25">
      <c r="A4" s="14" t="s">
        <v>5</v>
      </c>
      <c r="C4" s="15">
        <v>46067</v>
      </c>
      <c r="D4" s="16" t="s">
        <v>6</v>
      </c>
      <c r="E4" s="17">
        <v>250</v>
      </c>
      <c r="F4" s="16" t="s">
        <v>7</v>
      </c>
      <c r="H4" s="18" t="s">
        <v>31</v>
      </c>
      <c r="J4" s="15">
        <v>46068</v>
      </c>
      <c r="K4" s="16" t="s">
        <v>6</v>
      </c>
      <c r="L4" s="17">
        <v>240</v>
      </c>
      <c r="M4" s="16" t="s">
        <v>7</v>
      </c>
      <c r="P4" s="40" t="s">
        <v>6</v>
      </c>
      <c r="Q4" s="40" t="s">
        <v>25</v>
      </c>
    </row>
    <row r="5" spans="1:17" x14ac:dyDescent="0.25">
      <c r="A5" s="18" t="s">
        <v>8</v>
      </c>
      <c r="C5" s="19">
        <v>46067</v>
      </c>
      <c r="D5" s="20" t="s">
        <v>9</v>
      </c>
      <c r="E5" s="21">
        <v>150</v>
      </c>
      <c r="F5" s="20" t="s">
        <v>10</v>
      </c>
      <c r="H5" s="18" t="s">
        <v>32</v>
      </c>
      <c r="J5" s="19">
        <v>46068</v>
      </c>
      <c r="K5" s="20" t="s">
        <v>9</v>
      </c>
      <c r="L5" s="21">
        <v>150</v>
      </c>
      <c r="M5" s="20" t="s">
        <v>7</v>
      </c>
      <c r="P5" s="38" t="s">
        <v>9</v>
      </c>
      <c r="Q5" s="38" t="s">
        <v>10</v>
      </c>
    </row>
    <row r="6" spans="1:17" x14ac:dyDescent="0.25">
      <c r="A6" s="18" t="s">
        <v>11</v>
      </c>
      <c r="C6" s="15">
        <v>46067</v>
      </c>
      <c r="D6" s="16" t="s">
        <v>12</v>
      </c>
      <c r="E6" s="17">
        <v>250</v>
      </c>
      <c r="F6" s="16" t="s">
        <v>7</v>
      </c>
      <c r="H6" s="18" t="s">
        <v>33</v>
      </c>
      <c r="J6" s="15">
        <v>46068</v>
      </c>
      <c r="K6" s="16" t="s">
        <v>13</v>
      </c>
      <c r="L6" s="17">
        <v>130</v>
      </c>
      <c r="M6" s="16" t="s">
        <v>7</v>
      </c>
      <c r="P6" s="40" t="s">
        <v>12</v>
      </c>
      <c r="Q6" s="40" t="s">
        <v>26</v>
      </c>
    </row>
    <row r="7" spans="1:17" x14ac:dyDescent="0.25">
      <c r="A7" s="18" t="s">
        <v>14</v>
      </c>
      <c r="C7" s="19">
        <v>46067</v>
      </c>
      <c r="D7" s="20" t="s">
        <v>15</v>
      </c>
      <c r="E7" s="21">
        <v>130</v>
      </c>
      <c r="F7" s="20" t="s">
        <v>7</v>
      </c>
      <c r="H7" s="18" t="s">
        <v>34</v>
      </c>
      <c r="J7" s="19">
        <v>46068</v>
      </c>
      <c r="K7" s="20" t="s">
        <v>6</v>
      </c>
      <c r="L7" s="21">
        <v>240</v>
      </c>
      <c r="M7" s="20" t="s">
        <v>7</v>
      </c>
      <c r="P7" s="38" t="s">
        <v>15</v>
      </c>
      <c r="Q7" s="38" t="s">
        <v>7</v>
      </c>
    </row>
    <row r="8" spans="1:17" x14ac:dyDescent="0.25">
      <c r="A8" s="18" t="s">
        <v>16</v>
      </c>
      <c r="C8" s="15">
        <v>46067</v>
      </c>
      <c r="D8" s="16" t="s">
        <v>13</v>
      </c>
      <c r="E8" s="17">
        <v>150</v>
      </c>
      <c r="F8" s="16" t="s">
        <v>7</v>
      </c>
      <c r="H8" s="18" t="s">
        <v>35</v>
      </c>
      <c r="J8" s="15">
        <v>46068</v>
      </c>
      <c r="K8" s="16" t="s">
        <v>6</v>
      </c>
      <c r="L8" s="17">
        <v>240</v>
      </c>
      <c r="M8" s="16" t="s">
        <v>7</v>
      </c>
      <c r="P8" s="40" t="s">
        <v>22</v>
      </c>
      <c r="Q8" s="40" t="s">
        <v>27</v>
      </c>
    </row>
    <row r="9" spans="1:17" x14ac:dyDescent="0.25">
      <c r="A9" s="18" t="s">
        <v>17</v>
      </c>
      <c r="C9" s="19">
        <v>46067</v>
      </c>
      <c r="D9" s="20" t="s">
        <v>9</v>
      </c>
      <c r="E9" s="21">
        <v>150</v>
      </c>
      <c r="F9" s="20" t="s">
        <v>7</v>
      </c>
      <c r="H9" s="18" t="s">
        <v>36</v>
      </c>
      <c r="J9" s="19">
        <v>46068</v>
      </c>
      <c r="K9" s="20" t="s">
        <v>9</v>
      </c>
      <c r="L9" s="21">
        <v>140</v>
      </c>
      <c r="M9" s="20" t="s">
        <v>7</v>
      </c>
      <c r="P9" s="38" t="s">
        <v>13</v>
      </c>
      <c r="Q9" s="38"/>
    </row>
    <row r="10" spans="1:17" x14ac:dyDescent="0.25">
      <c r="A10" s="18" t="s">
        <v>18</v>
      </c>
      <c r="C10" s="15">
        <v>46067</v>
      </c>
      <c r="D10" s="16" t="s">
        <v>6</v>
      </c>
      <c r="E10" s="17">
        <v>250</v>
      </c>
      <c r="F10" s="16" t="s">
        <v>7</v>
      </c>
      <c r="H10" s="18" t="s">
        <v>37</v>
      </c>
      <c r="J10" s="22">
        <v>46068</v>
      </c>
      <c r="K10" s="23" t="s">
        <v>6</v>
      </c>
      <c r="L10" s="24">
        <v>240</v>
      </c>
      <c r="M10" s="23" t="s">
        <v>7</v>
      </c>
      <c r="P10" s="40" t="s">
        <v>28</v>
      </c>
      <c r="Q10" s="40"/>
    </row>
    <row r="11" spans="1:17" x14ac:dyDescent="0.25">
      <c r="A11" s="18" t="s">
        <v>19</v>
      </c>
      <c r="C11" s="19">
        <v>46067</v>
      </c>
      <c r="D11" s="20" t="s">
        <v>6</v>
      </c>
      <c r="E11" s="21">
        <v>250</v>
      </c>
      <c r="F11" s="20" t="s">
        <v>7</v>
      </c>
      <c r="J11" s="25">
        <v>46068</v>
      </c>
      <c r="K11" s="26" t="s">
        <v>6</v>
      </c>
      <c r="L11" s="27">
        <v>240</v>
      </c>
      <c r="M11" s="26" t="s">
        <v>7</v>
      </c>
    </row>
    <row r="12" spans="1:17" x14ac:dyDescent="0.25">
      <c r="C12" s="15">
        <v>46067</v>
      </c>
      <c r="D12" s="16" t="s">
        <v>6</v>
      </c>
      <c r="E12" s="17">
        <v>250</v>
      </c>
      <c r="F12" s="16" t="s">
        <v>7</v>
      </c>
      <c r="H12" s="28" t="s">
        <v>20</v>
      </c>
      <c r="J12" s="29">
        <v>46068</v>
      </c>
      <c r="K12" s="30" t="s">
        <v>6</v>
      </c>
      <c r="L12" s="31">
        <v>240</v>
      </c>
      <c r="M12" s="30" t="s">
        <v>7</v>
      </c>
    </row>
    <row r="13" spans="1:17" x14ac:dyDescent="0.25">
      <c r="A13" s="28" t="s">
        <v>20</v>
      </c>
      <c r="C13" s="19">
        <v>46067</v>
      </c>
      <c r="D13" s="20" t="s">
        <v>6</v>
      </c>
      <c r="E13" s="21">
        <v>250</v>
      </c>
      <c r="F13" s="20" t="s">
        <v>7</v>
      </c>
      <c r="H13" s="32">
        <f>SUM(L3:L43)</f>
        <v>2100</v>
      </c>
      <c r="J13" s="25">
        <v>46068</v>
      </c>
      <c r="K13" s="26" t="s">
        <v>6</v>
      </c>
      <c r="L13" s="27">
        <v>240</v>
      </c>
      <c r="M13" s="26" t="s">
        <v>7</v>
      </c>
    </row>
    <row r="14" spans="1:17" x14ac:dyDescent="0.25">
      <c r="A14" s="32">
        <f>SUM(E4:E44)</f>
        <v>3850</v>
      </c>
      <c r="C14" s="15">
        <v>46067</v>
      </c>
      <c r="D14" s="16" t="s">
        <v>9</v>
      </c>
      <c r="E14" s="17">
        <v>150</v>
      </c>
      <c r="F14" s="16" t="s">
        <v>7</v>
      </c>
      <c r="K14" s="33"/>
      <c r="L14" s="34"/>
      <c r="M14" s="33"/>
    </row>
    <row r="15" spans="1:17" x14ac:dyDescent="0.25">
      <c r="C15" s="19">
        <v>46067</v>
      </c>
      <c r="D15" s="20" t="s">
        <v>15</v>
      </c>
      <c r="E15" s="21">
        <v>130</v>
      </c>
      <c r="F15" s="20" t="s">
        <v>7</v>
      </c>
      <c r="K15" s="33"/>
      <c r="L15" s="34"/>
      <c r="M15" s="33"/>
    </row>
    <row r="16" spans="1:17" x14ac:dyDescent="0.25">
      <c r="C16" s="15">
        <v>46067</v>
      </c>
      <c r="D16" s="16" t="s">
        <v>9</v>
      </c>
      <c r="E16" s="17">
        <v>150</v>
      </c>
      <c r="F16" s="16" t="s">
        <v>7</v>
      </c>
      <c r="K16" s="33"/>
      <c r="L16" s="34"/>
      <c r="M16" s="33"/>
    </row>
    <row r="17" spans="1:13" x14ac:dyDescent="0.25">
      <c r="A17" s="35" t="s">
        <v>38</v>
      </c>
      <c r="C17" s="19">
        <v>46067</v>
      </c>
      <c r="D17" s="20" t="s">
        <v>9</v>
      </c>
      <c r="E17" s="21">
        <v>150</v>
      </c>
      <c r="F17" s="20" t="s">
        <v>10</v>
      </c>
      <c r="K17" s="33"/>
      <c r="L17" s="34"/>
      <c r="M17" s="33"/>
    </row>
    <row r="18" spans="1:13" x14ac:dyDescent="0.25">
      <c r="A18" s="36">
        <f>SUM(A14,H13)</f>
        <v>5950</v>
      </c>
      <c r="C18" s="15">
        <v>46067</v>
      </c>
      <c r="D18" s="16" t="s">
        <v>13</v>
      </c>
      <c r="E18" s="17">
        <v>150</v>
      </c>
      <c r="F18" s="16" t="s">
        <v>7</v>
      </c>
      <c r="K18" s="33"/>
      <c r="L18" s="37"/>
      <c r="M18" s="33"/>
    </row>
    <row r="19" spans="1:13" x14ac:dyDescent="0.25">
      <c r="C19" s="19">
        <v>46067</v>
      </c>
      <c r="D19" s="20" t="s">
        <v>6</v>
      </c>
      <c r="E19" s="21">
        <v>250</v>
      </c>
      <c r="F19" s="20" t="s">
        <v>7</v>
      </c>
      <c r="K19" s="33"/>
      <c r="L19" s="34"/>
      <c r="M19" s="33"/>
    </row>
    <row r="20" spans="1:13" x14ac:dyDescent="0.25">
      <c r="C20" s="15">
        <v>46067</v>
      </c>
      <c r="D20" s="16" t="s">
        <v>9</v>
      </c>
      <c r="E20" s="17">
        <v>150</v>
      </c>
      <c r="F20" s="16" t="s">
        <v>7</v>
      </c>
      <c r="K20" s="33" t="s">
        <v>21</v>
      </c>
      <c r="L20" s="34"/>
      <c r="M20" s="33"/>
    </row>
    <row r="21" spans="1:13" x14ac:dyDescent="0.25">
      <c r="C21" s="19">
        <v>46067</v>
      </c>
      <c r="D21" s="20" t="s">
        <v>9</v>
      </c>
      <c r="E21" s="21">
        <v>150</v>
      </c>
      <c r="F21" s="20" t="s">
        <v>7</v>
      </c>
      <c r="K21" s="33"/>
      <c r="L21" s="34"/>
      <c r="M21" s="33"/>
    </row>
    <row r="22" spans="1:13" x14ac:dyDescent="0.25">
      <c r="C22" s="15">
        <v>46067</v>
      </c>
      <c r="D22" s="16" t="s">
        <v>22</v>
      </c>
      <c r="E22" s="17">
        <v>90</v>
      </c>
      <c r="F22" s="16" t="s">
        <v>7</v>
      </c>
      <c r="K22" s="33"/>
      <c r="L22" s="34"/>
      <c r="M22" s="33"/>
    </row>
    <row r="23" spans="1:13" x14ac:dyDescent="0.25">
      <c r="C23" s="19">
        <v>46067</v>
      </c>
      <c r="D23" s="20" t="s">
        <v>9</v>
      </c>
      <c r="E23" s="21">
        <v>150</v>
      </c>
      <c r="F23" s="20" t="s">
        <v>7</v>
      </c>
      <c r="K23" s="33"/>
      <c r="L23" s="34"/>
      <c r="M23" s="33"/>
    </row>
    <row r="24" spans="1:13" x14ac:dyDescent="0.25">
      <c r="C24" s="15">
        <v>46067</v>
      </c>
      <c r="D24" s="16" t="s">
        <v>6</v>
      </c>
      <c r="E24" s="17">
        <v>250</v>
      </c>
      <c r="F24" s="16" t="s">
        <v>7</v>
      </c>
      <c r="K24" s="33"/>
      <c r="L24" s="34"/>
      <c r="M24" s="33"/>
    </row>
    <row r="25" spans="1:13" x14ac:dyDescent="0.25">
      <c r="F25" s="33"/>
      <c r="K25" s="33"/>
      <c r="L25" s="34"/>
      <c r="M25" s="33"/>
    </row>
    <row r="26" spans="1:13" x14ac:dyDescent="0.25">
      <c r="F26" s="33"/>
      <c r="K26" s="33"/>
      <c r="L26" s="34"/>
      <c r="M26" s="33"/>
    </row>
    <row r="27" spans="1:13" x14ac:dyDescent="0.25">
      <c r="F27" s="33"/>
      <c r="K27" s="33"/>
      <c r="L27" s="34"/>
      <c r="M27" s="33"/>
    </row>
    <row r="28" spans="1:13" x14ac:dyDescent="0.25">
      <c r="F28" s="33"/>
      <c r="K28" s="33"/>
      <c r="L28" s="34"/>
      <c r="M28" s="33"/>
    </row>
    <row r="29" spans="1:13" x14ac:dyDescent="0.25">
      <c r="F29" s="33"/>
      <c r="K29" s="33"/>
      <c r="L29" s="34"/>
      <c r="M29" s="33"/>
    </row>
    <row r="30" spans="1:13" x14ac:dyDescent="0.25">
      <c r="F30" s="33"/>
      <c r="L30" s="34"/>
      <c r="M30" s="33"/>
    </row>
    <row r="31" spans="1:13" x14ac:dyDescent="0.25">
      <c r="F31" s="33"/>
      <c r="L31" s="34"/>
      <c r="M31" s="33"/>
    </row>
    <row r="32" spans="1:13" x14ac:dyDescent="0.25">
      <c r="F32" s="33"/>
      <c r="L32" s="34"/>
      <c r="M32" s="33"/>
    </row>
    <row r="33" spans="6:13" x14ac:dyDescent="0.25">
      <c r="F33" s="33"/>
      <c r="L33" s="34"/>
      <c r="M33" s="33"/>
    </row>
    <row r="34" spans="6:13" x14ac:dyDescent="0.25">
      <c r="F34" s="33"/>
      <c r="L34" s="34"/>
      <c r="M34" s="33"/>
    </row>
    <row r="35" spans="6:13" x14ac:dyDescent="0.25">
      <c r="F35" s="33"/>
      <c r="L35" s="34"/>
      <c r="M35" s="33"/>
    </row>
    <row r="36" spans="6:13" x14ac:dyDescent="0.25">
      <c r="F36" s="33"/>
      <c r="L36" s="34"/>
      <c r="M36" s="33"/>
    </row>
    <row r="37" spans="6:13" x14ac:dyDescent="0.25">
      <c r="F37" s="33"/>
      <c r="L37" s="34"/>
    </row>
    <row r="38" spans="6:13" x14ac:dyDescent="0.25">
      <c r="F38" s="33"/>
      <c r="L38" s="34"/>
    </row>
    <row r="39" spans="6:13" x14ac:dyDescent="0.25">
      <c r="L39" s="34"/>
    </row>
    <row r="40" spans="6:13" x14ac:dyDescent="0.25">
      <c r="L40" s="34"/>
    </row>
    <row r="41" spans="6:13" x14ac:dyDescent="0.25">
      <c r="L41" s="34"/>
    </row>
    <row r="42" spans="6:13" x14ac:dyDescent="0.25">
      <c r="L42" s="34"/>
    </row>
  </sheetData>
  <dataValidations count="2">
    <dataValidation type="list" allowBlank="1" showInputMessage="1" showErrorMessage="1" sqref="D4:D24 K4:K13" xr:uid="{0A3468E8-6C7E-4A22-98C6-2717DB6A20A9}">
      <formula1>$P$4:$P$10</formula1>
    </dataValidation>
    <dataValidation type="list" allowBlank="1" showInputMessage="1" showErrorMessage="1" sqref="F4:F24 M4:M13" xr:uid="{E7557459-F5A7-4714-A942-45E416B603D2}">
      <formula1>$Q$4:$Q$8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M19"/>
  <sheetViews>
    <sheetView tabSelected="1" zoomScaleNormal="100" workbookViewId="0">
      <selection activeCell="H20" sqref="H20"/>
    </sheetView>
  </sheetViews>
  <sheetFormatPr defaultColWidth="9" defaultRowHeight="15" x14ac:dyDescent="0.25"/>
  <cols>
    <col min="2" max="2" width="12.625" customWidth="1"/>
    <col min="3" max="3" width="11.875" customWidth="1"/>
    <col min="5" max="5" width="13.25" customWidth="1"/>
    <col min="9" max="10" width="12.375" customWidth="1"/>
    <col min="12" max="12" width="13.625" customWidth="1"/>
  </cols>
  <sheetData>
    <row r="2" spans="1:13" x14ac:dyDescent="0.25">
      <c r="B2" s="5" t="s">
        <v>1</v>
      </c>
      <c r="C2" s="4" t="s">
        <v>23</v>
      </c>
      <c r="E2" s="1" t="s">
        <v>3</v>
      </c>
      <c r="F2" s="1" t="s">
        <v>24</v>
      </c>
      <c r="I2" s="5" t="s">
        <v>1</v>
      </c>
      <c r="J2" s="4" t="s">
        <v>23</v>
      </c>
      <c r="L2" s="1" t="s">
        <v>3</v>
      </c>
      <c r="M2" s="1" t="s">
        <v>24</v>
      </c>
    </row>
    <row r="3" spans="1:13" x14ac:dyDescent="0.25">
      <c r="A3">
        <v>13</v>
      </c>
      <c r="B3" s="7" t="s">
        <v>9</v>
      </c>
      <c r="C3" s="6">
        <f>COUNTIF(RawData!D:D,"Banana Loaf")</f>
        <v>8</v>
      </c>
      <c r="E3" t="s">
        <v>25</v>
      </c>
      <c r="F3">
        <f>COUNTIF(RawData!F:F,"Child")</f>
        <v>0</v>
      </c>
      <c r="H3">
        <v>5</v>
      </c>
      <c r="I3" s="7" t="s">
        <v>9</v>
      </c>
      <c r="J3" s="6">
        <f>COUNTIF(RawData!K:K,"Banana Loaf")</f>
        <v>2</v>
      </c>
      <c r="L3" t="s">
        <v>25</v>
      </c>
      <c r="M3">
        <f>COUNTIF(RawData!M:M,"Child")</f>
        <v>0</v>
      </c>
    </row>
    <row r="4" spans="1:13" x14ac:dyDescent="0.25">
      <c r="A4">
        <v>12</v>
      </c>
      <c r="B4" s="3" t="s">
        <v>22</v>
      </c>
      <c r="C4" s="2">
        <f>COUNTIF(RawData!D:D,"Cupcake")</f>
        <v>1</v>
      </c>
      <c r="E4" t="s">
        <v>10</v>
      </c>
      <c r="F4">
        <f>COUNTIF(RawData!F:F,"Student")</f>
        <v>2</v>
      </c>
      <c r="H4">
        <v>10</v>
      </c>
      <c r="I4" s="3" t="s">
        <v>22</v>
      </c>
      <c r="J4" s="2">
        <f>COUNTIF(RawData!K:K,"Cupcake")</f>
        <v>0</v>
      </c>
      <c r="L4" t="s">
        <v>10</v>
      </c>
      <c r="M4">
        <f>COUNTIF(RawData!M:M,"Student")</f>
        <v>0</v>
      </c>
    </row>
    <row r="5" spans="1:13" x14ac:dyDescent="0.25">
      <c r="A5">
        <v>2</v>
      </c>
      <c r="B5" s="7" t="s">
        <v>12</v>
      </c>
      <c r="C5" s="6">
        <f>COUNTIF(RawData!D:D,"Tulip Cake")</f>
        <v>1</v>
      </c>
      <c r="E5" t="s">
        <v>26</v>
      </c>
      <c r="F5">
        <f>COUNTIF(RawData!F:F,"Teenager")</f>
        <v>0</v>
      </c>
      <c r="H5">
        <v>0</v>
      </c>
      <c r="I5" s="7" t="s">
        <v>12</v>
      </c>
      <c r="J5" s="6">
        <f>COUNTIF(RawData!K:K,"Tulip Cake")</f>
        <v>0</v>
      </c>
      <c r="L5" t="s">
        <v>26</v>
      </c>
      <c r="M5">
        <f>COUNTIF(RawData!M:M,"Teenager")</f>
        <v>0</v>
      </c>
    </row>
    <row r="6" spans="1:13" x14ac:dyDescent="0.25">
      <c r="A6">
        <v>4</v>
      </c>
      <c r="B6" s="3" t="s">
        <v>15</v>
      </c>
      <c r="C6" s="2">
        <f>COUNTIF(RawData!D:D,"Mini Cupcake")</f>
        <v>2</v>
      </c>
      <c r="E6" t="s">
        <v>7</v>
      </c>
      <c r="F6">
        <f>COUNTIF(RawData!F:F,"Adult")</f>
        <v>19</v>
      </c>
      <c r="H6">
        <v>2</v>
      </c>
      <c r="I6" s="3" t="s">
        <v>15</v>
      </c>
      <c r="J6" s="2">
        <f>COUNTIF(RawData!K:K,"Mini Cupcake")</f>
        <v>0</v>
      </c>
      <c r="L6" t="s">
        <v>7</v>
      </c>
      <c r="M6">
        <f>COUNTIF(RawData!M:M,"Adult")</f>
        <v>10</v>
      </c>
    </row>
    <row r="7" spans="1:13" x14ac:dyDescent="0.25">
      <c r="A7">
        <v>7</v>
      </c>
      <c r="B7" s="7" t="s">
        <v>13</v>
      </c>
      <c r="C7" s="6">
        <f>COUNTIF(RawData!D:D,"Brownies")</f>
        <v>2</v>
      </c>
      <c r="E7" t="s">
        <v>27</v>
      </c>
      <c r="F7">
        <f>COUNTIF(RawData!F:F,"Elderly")</f>
        <v>0</v>
      </c>
      <c r="H7">
        <v>5</v>
      </c>
      <c r="I7" s="7" t="s">
        <v>13</v>
      </c>
      <c r="J7" s="6">
        <f>COUNTIF(RawData!K:K,"Brownies")</f>
        <v>1</v>
      </c>
      <c r="L7" t="s">
        <v>27</v>
      </c>
      <c r="M7">
        <f>COUNTIF(RawData!M:M,"Elderly")</f>
        <v>0</v>
      </c>
    </row>
    <row r="8" spans="1:13" x14ac:dyDescent="0.25">
      <c r="A8">
        <v>13</v>
      </c>
      <c r="B8" s="3" t="s">
        <v>6</v>
      </c>
      <c r="C8" s="2">
        <f>COUNTIF(RawData!D:D,"Egg Tart")</f>
        <v>7</v>
      </c>
      <c r="H8">
        <v>13</v>
      </c>
      <c r="I8" s="3" t="s">
        <v>6</v>
      </c>
      <c r="J8" s="2">
        <f>COUNTIF(RawData!K:K,"Egg Tart")</f>
        <v>7</v>
      </c>
    </row>
    <row r="9" spans="1:13" x14ac:dyDescent="0.25">
      <c r="B9" s="9" t="s">
        <v>28</v>
      </c>
      <c r="C9" s="8">
        <f>COUNTIF(RawData!D:D,"Juice")</f>
        <v>0</v>
      </c>
      <c r="I9" s="9" t="s">
        <v>28</v>
      </c>
      <c r="J9" s="8">
        <f>COUNTIF(RawData!K:K,"Juice")</f>
        <v>0</v>
      </c>
    </row>
    <row r="19" spans="1:1" x14ac:dyDescent="0.25">
      <c r="A19" t="s">
        <v>29</v>
      </c>
    </row>
  </sheetData>
  <phoneticPr fontId="0" type="noConversion"/>
  <pageMargins left="1.2477606300293931" right="1.2477606300293931" top="0.99987495602585208" bottom="0.99987495602585208" header="0.49993747801292604" footer="0.49993747801292604"/>
  <pageSetup paperSize="9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>Normal.eit</Template>
  <TotalTime>1829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RawData</vt:lpstr>
      <vt:lpstr>Charts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Liam Jedrek Gabison</dc:creator>
  <cp:lastModifiedBy>Liam Jedrek Gabison</cp:lastModifiedBy>
  <cp:revision>0</cp:revision>
  <dcterms:created xsi:type="dcterms:W3CDTF">2024-04-18T03:23:06Z</dcterms:created>
  <dcterms:modified xsi:type="dcterms:W3CDTF">2026-02-15T16:58:24Z</dcterms:modified>
</cp:coreProperties>
</file>