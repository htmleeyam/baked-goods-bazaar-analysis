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iamj\Downloads\Downloads\"/>
    </mc:Choice>
  </mc:AlternateContent>
  <xr:revisionPtr revIDLastSave="0" documentId="13_ncr:1_{515C55D0-119B-4DBB-9566-FF30C88500B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inal Report" sheetId="8" r:id="rId1"/>
    <sheet name="CleanData" sheetId="4" r:id="rId2"/>
    <sheet name="RawData" sheetId="1" r:id="rId3"/>
  </sheets>
  <definedNames>
    <definedName name="_xlnm._FilterDatabase" localSheetId="2" hidden="1">RawData!D3:F24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A14" i="1"/>
  <c r="E28" i="1"/>
  <c r="H28" i="1"/>
  <c r="L28" i="1"/>
  <c r="O28" i="1"/>
  <c r="E29" i="1"/>
  <c r="H29" i="1"/>
  <c r="L29" i="1"/>
  <c r="O29" i="1"/>
  <c r="E30" i="1"/>
  <c r="H30" i="1"/>
  <c r="L30" i="1"/>
  <c r="O30" i="1"/>
  <c r="E31" i="1"/>
  <c r="H31" i="1"/>
  <c r="L31" i="1"/>
  <c r="O31" i="1"/>
  <c r="E32" i="1"/>
  <c r="H32" i="1"/>
  <c r="L32" i="1"/>
  <c r="O32" i="1"/>
  <c r="E33" i="1"/>
  <c r="L33" i="1"/>
  <c r="E34" i="1"/>
  <c r="L34" i="1"/>
  <c r="A18" i="1" l="1"/>
</calcChain>
</file>

<file path=xl/sharedStrings.xml><?xml version="1.0" encoding="utf-8"?>
<sst xmlns="http://schemas.openxmlformats.org/spreadsheetml/2006/main" count="224" uniqueCount="46">
  <si>
    <t>Date</t>
  </si>
  <si>
    <t>Product</t>
  </si>
  <si>
    <t>Price</t>
  </si>
  <si>
    <t>Customer Type</t>
  </si>
  <si>
    <t>Day 2</t>
  </si>
  <si>
    <t>Day 1</t>
  </si>
  <si>
    <t>Egg Tart</t>
  </si>
  <si>
    <t>Adult</t>
  </si>
  <si>
    <t>Banana Loaf 150</t>
  </si>
  <si>
    <t>Banana Loaf</t>
  </si>
  <si>
    <t>Student</t>
  </si>
  <si>
    <t>Tulip Cake 250</t>
  </si>
  <si>
    <t>Tulip Cake</t>
  </si>
  <si>
    <t>Brownies</t>
  </si>
  <si>
    <t>Mini Cupcake 130</t>
  </si>
  <si>
    <t>Mini Cupcake</t>
  </si>
  <si>
    <t>Cupcake 90</t>
  </si>
  <si>
    <t>Brownies 150</t>
  </si>
  <si>
    <t>Egg Tart 250</t>
  </si>
  <si>
    <t>Juice 50</t>
  </si>
  <si>
    <t>Total</t>
  </si>
  <si>
    <t xml:space="preserve">           </t>
  </si>
  <si>
    <t>Cupcake</t>
  </si>
  <si>
    <t>Quantity Sold</t>
  </si>
  <si>
    <t>Quantity</t>
  </si>
  <si>
    <t>Child</t>
  </si>
  <si>
    <t>Teenager</t>
  </si>
  <si>
    <t>Elderly</t>
  </si>
  <si>
    <t>Juice</t>
  </si>
  <si>
    <t>Raw Data</t>
  </si>
  <si>
    <r>
      <t xml:space="preserve">Banana Loaf  - </t>
    </r>
    <r>
      <rPr>
        <b/>
        <sz val="11"/>
        <rFont val="Abadi"/>
        <family val="2"/>
      </rPr>
      <t>140</t>
    </r>
    <r>
      <rPr>
        <sz val="11"/>
        <rFont val="Abadi"/>
        <family val="2"/>
      </rPr>
      <t>_x000D_</t>
    </r>
  </si>
  <si>
    <r>
      <t xml:space="preserve">Tulip Cake - </t>
    </r>
    <r>
      <rPr>
        <b/>
        <sz val="11"/>
        <rFont val="Abadi"/>
        <family val="2"/>
      </rPr>
      <t>250</t>
    </r>
    <r>
      <rPr>
        <sz val="11"/>
        <rFont val="Abadi"/>
        <family val="2"/>
      </rPr>
      <t>_x000D_</t>
    </r>
  </si>
  <si>
    <r>
      <t>Mini Cupcake -</t>
    </r>
    <r>
      <rPr>
        <b/>
        <sz val="11"/>
        <rFont val="Abadi"/>
        <family val="2"/>
      </rPr>
      <t xml:space="preserve"> 120</t>
    </r>
    <r>
      <rPr>
        <sz val="11"/>
        <rFont val="Abadi"/>
        <family val="2"/>
      </rPr>
      <t>_x000D_</t>
    </r>
  </si>
  <si>
    <r>
      <t xml:space="preserve">Cupcake - </t>
    </r>
    <r>
      <rPr>
        <b/>
        <sz val="11"/>
        <rFont val="Abadi"/>
        <family val="2"/>
      </rPr>
      <t>60</t>
    </r>
    <r>
      <rPr>
        <sz val="11"/>
        <rFont val="Abadi"/>
        <family val="2"/>
      </rPr>
      <t>_x000D_</t>
    </r>
  </si>
  <si>
    <r>
      <t xml:space="preserve">Brownies - </t>
    </r>
    <r>
      <rPr>
        <b/>
        <sz val="11"/>
        <rFont val="Abadi"/>
        <family val="2"/>
      </rPr>
      <t>140</t>
    </r>
    <r>
      <rPr>
        <sz val="11"/>
        <rFont val="Abadi"/>
        <family val="2"/>
      </rPr>
      <t>_x000D_</t>
    </r>
  </si>
  <si>
    <r>
      <t xml:space="preserve">Egg Tart - </t>
    </r>
    <r>
      <rPr>
        <b/>
        <sz val="11"/>
        <rFont val="Abadi"/>
        <family val="2"/>
      </rPr>
      <t>240</t>
    </r>
    <r>
      <rPr>
        <sz val="11"/>
        <rFont val="Abadi"/>
        <family val="2"/>
      </rPr>
      <t>_x000D_</t>
    </r>
  </si>
  <si>
    <r>
      <t xml:space="preserve">Juice - </t>
    </r>
    <r>
      <rPr>
        <b/>
        <sz val="11"/>
        <rFont val="Abadi"/>
        <family val="2"/>
      </rPr>
      <t>50</t>
    </r>
    <r>
      <rPr>
        <sz val="11"/>
        <rFont val="Abadi"/>
        <family val="2"/>
      </rPr>
      <t>_x000D_</t>
    </r>
  </si>
  <si>
    <t>TOTAL SALES (ALL-IN-ALL)_x000D_</t>
  </si>
  <si>
    <t>Sum of Price</t>
  </si>
  <si>
    <t>Grand Total</t>
  </si>
  <si>
    <t>Products</t>
  </si>
  <si>
    <t>Total Products Sold</t>
  </si>
  <si>
    <t>Total Sold Per Day</t>
  </si>
  <si>
    <t>Total Sold Per Customer Type</t>
  </si>
  <si>
    <t>Dates</t>
  </si>
  <si>
    <t>Bazaar Sales Analysis Dashboard (February 14–15,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</si>
</sst>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/m\/d"/>
    <numFmt numFmtId="165" formatCode="[$Php-3409]#,##0.00;\-[$Php-3409]#,##0.00"/>
  </numFmts>
  <fonts count="7" x14ac:knownFonts="1">
    <font>
      <sz val="11"/>
      <name val="Roboto"/>
      <family val="1"/>
    </font>
    <font>
      <b/>
      <sz val="11"/>
      <name val="Roboto"/>
      <family val="1"/>
    </font>
    <font>
      <b/>
      <sz val="29"/>
      <color rgb="FFFFFFFF"/>
      <name val="Aharoni"/>
      <charset val="177"/>
    </font>
    <font>
      <sz val="11"/>
      <name val="Abadi"/>
      <family val="2"/>
    </font>
    <font>
      <b/>
      <sz val="11"/>
      <name val="Abadi"/>
      <family val="2"/>
    </font>
    <font>
      <b/>
      <sz val="11"/>
      <color rgb="FFFFFFFF"/>
      <name val="Abadi"/>
      <family val="2"/>
    </font>
    <font>
      <b/>
      <sz val="16"/>
      <color theme="0"/>
      <name val="Roboto"/>
    </font>
  </fonts>
  <fills count="13">
    <fill>
      <patternFill patternType="none"/>
    </fill>
    <fill>
      <patternFill patternType="gray125"/>
    </fill>
    <fill>
      <patternFill patternType="solid">
        <fgColor rgb="FF95B3D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BF1DD"/>
        <bgColor indexed="64"/>
      </patternFill>
    </fill>
    <fill>
      <patternFill patternType="solid">
        <fgColor rgb="FFA9BE7A"/>
        <bgColor indexed="64"/>
      </patternFill>
    </fill>
    <fill>
      <patternFill patternType="solid">
        <fgColor rgb="FF76923C"/>
        <bgColor indexed="64"/>
      </patternFill>
    </fill>
    <fill>
      <patternFill patternType="solid">
        <fgColor rgb="FFD7E3BC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2" xfId="0" applyBorder="1">
      <alignment vertical="center"/>
    </xf>
    <xf numFmtId="0" fontId="1" fillId="0" borderId="14" xfId="0" applyFont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0" fillId="8" borderId="17" xfId="0" applyFill="1" applyBorder="1">
      <alignment vertical="center"/>
    </xf>
    <xf numFmtId="0" fontId="1" fillId="8" borderId="18" xfId="0" applyFont="1" applyFill="1" applyBorder="1">
      <alignment vertical="center"/>
    </xf>
    <xf numFmtId="0" fontId="0" fillId="8" borderId="19" xfId="0" applyFill="1" applyBorder="1">
      <alignment vertical="center"/>
    </xf>
    <xf numFmtId="0" fontId="1" fillId="8" borderId="20" xfId="0" applyFont="1" applyFill="1" applyBorder="1">
      <alignment vertical="center"/>
    </xf>
    <xf numFmtId="0" fontId="2" fillId="9" borderId="0" xfId="0" applyFont="1" applyFill="1">
      <alignment vertical="center"/>
    </xf>
    <xf numFmtId="0" fontId="0" fillId="9" borderId="0" xfId="0" applyFill="1">
      <alignment vertical="center"/>
    </xf>
    <xf numFmtId="0" fontId="3" fillId="0" borderId="0" xfId="0" applyFont="1">
      <alignment vertical="center"/>
    </xf>
    <xf numFmtId="0" fontId="4" fillId="5" borderId="8" xfId="0" applyFont="1" applyFill="1" applyBorder="1">
      <alignment vertical="center"/>
    </xf>
    <xf numFmtId="0" fontId="4" fillId="0" borderId="0" xfId="0" applyFont="1">
      <alignment vertical="center"/>
    </xf>
    <xf numFmtId="164" fontId="3" fillId="4" borderId="11" xfId="0" applyNumberFormat="1" applyFont="1" applyFill="1" applyBorder="1">
      <alignment vertical="center"/>
    </xf>
    <xf numFmtId="0" fontId="3" fillId="4" borderId="9" xfId="0" applyFont="1" applyFill="1" applyBorder="1" applyAlignment="1">
      <alignment horizontal="right" vertical="center"/>
    </xf>
    <xf numFmtId="165" fontId="3" fillId="4" borderId="10" xfId="0" applyNumberFormat="1" applyFont="1" applyFill="1" applyBorder="1">
      <alignment vertical="center"/>
    </xf>
    <xf numFmtId="0" fontId="3" fillId="3" borderId="0" xfId="0" applyFont="1" applyFill="1">
      <alignment vertical="center"/>
    </xf>
    <xf numFmtId="164" fontId="3" fillId="0" borderId="7" xfId="0" applyNumberFormat="1" applyFont="1" applyBorder="1">
      <alignment vertical="center"/>
    </xf>
    <xf numFmtId="0" fontId="3" fillId="0" borderId="5" xfId="0" applyFont="1" applyBorder="1" applyAlignment="1">
      <alignment horizontal="right" vertical="center"/>
    </xf>
    <xf numFmtId="165" fontId="3" fillId="0" borderId="6" xfId="0" applyNumberFormat="1" applyFont="1" applyBorder="1">
      <alignment vertical="center"/>
    </xf>
    <xf numFmtId="164" fontId="3" fillId="4" borderId="21" xfId="0" applyNumberFormat="1" applyFont="1" applyFill="1" applyBorder="1">
      <alignment vertical="center"/>
    </xf>
    <xf numFmtId="0" fontId="3" fillId="4" borderId="22" xfId="0" applyFont="1" applyFill="1" applyBorder="1" applyAlignment="1">
      <alignment horizontal="right" vertical="center"/>
    </xf>
    <xf numFmtId="165" fontId="3" fillId="4" borderId="23" xfId="0" applyNumberFormat="1" applyFont="1" applyFill="1" applyBorder="1">
      <alignment vertical="center"/>
    </xf>
    <xf numFmtId="164" fontId="3" fillId="0" borderId="26" xfId="0" applyNumberFormat="1" applyFont="1" applyBorder="1">
      <alignment vertical="center"/>
    </xf>
    <xf numFmtId="0" fontId="3" fillId="0" borderId="24" xfId="0" applyFont="1" applyBorder="1" applyAlignment="1">
      <alignment horizontal="right" vertical="center"/>
    </xf>
    <xf numFmtId="165" fontId="3" fillId="0" borderId="25" xfId="0" applyNumberFormat="1" applyFont="1" applyBorder="1">
      <alignment vertical="center"/>
    </xf>
    <xf numFmtId="0" fontId="4" fillId="5" borderId="3" xfId="0" applyFont="1" applyFill="1" applyBorder="1">
      <alignment vertical="center"/>
    </xf>
    <xf numFmtId="164" fontId="3" fillId="4" borderId="29" xfId="0" applyNumberFormat="1" applyFont="1" applyFill="1" applyBorder="1">
      <alignment vertical="center"/>
    </xf>
    <xf numFmtId="0" fontId="3" fillId="4" borderId="27" xfId="0" applyFont="1" applyFill="1" applyBorder="1" applyAlignment="1">
      <alignment horizontal="right" vertical="center"/>
    </xf>
    <xf numFmtId="165" fontId="3" fillId="4" borderId="28" xfId="0" applyNumberFormat="1" applyFont="1" applyFill="1" applyBorder="1">
      <alignment vertical="center"/>
    </xf>
    <xf numFmtId="165" fontId="3" fillId="4" borderId="4" xfId="0" applyNumberFormat="1" applyFont="1" applyFill="1" applyBorder="1">
      <alignment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>
      <alignment vertical="center"/>
    </xf>
    <xf numFmtId="0" fontId="5" fillId="6" borderId="12" xfId="0" applyFont="1" applyFill="1" applyBorder="1">
      <alignment vertical="center"/>
    </xf>
    <xf numFmtId="165" fontId="4" fillId="7" borderId="13" xfId="0" applyNumberFormat="1" applyFont="1" applyFill="1" applyBorder="1">
      <alignment vertical="center"/>
    </xf>
    <xf numFmtId="165" fontId="3" fillId="0" borderId="0" xfId="0" applyNumberFormat="1" applyFont="1" applyAlignment="1">
      <alignment horizontal="right" vertical="center"/>
    </xf>
    <xf numFmtId="0" fontId="3" fillId="0" borderId="1" xfId="0" applyFont="1" applyBorder="1">
      <alignment vertical="center"/>
    </xf>
    <xf numFmtId="0" fontId="4" fillId="10" borderId="1" xfId="0" applyFont="1" applyFill="1" applyBorder="1">
      <alignment vertical="center"/>
    </xf>
    <xf numFmtId="0" fontId="3" fillId="11" borderId="1" xfId="0" applyFont="1" applyFill="1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65" fontId="0" fillId="0" borderId="0" xfId="0" applyNumberFormat="1">
      <alignment vertical="center"/>
    </xf>
    <xf numFmtId="164" fontId="0" fillId="0" borderId="0" xfId="0" applyNumberFormat="1" applyAlignment="1">
      <alignment horizontal="left" vertical="center"/>
    </xf>
    <xf numFmtId="0" fontId="4" fillId="0" borderId="32" xfId="0" applyFont="1" applyBorder="1">
      <alignment vertical="center"/>
    </xf>
    <xf numFmtId="0" fontId="4" fillId="0" borderId="33" xfId="0" applyFont="1" applyBorder="1">
      <alignment vertical="center"/>
    </xf>
    <xf numFmtId="0" fontId="4" fillId="0" borderId="34" xfId="0" applyFont="1" applyBorder="1">
      <alignment vertical="center"/>
    </xf>
    <xf numFmtId="164" fontId="3" fillId="0" borderId="30" xfId="0" applyNumberFormat="1" applyFont="1" applyBorder="1">
      <alignment vertical="center"/>
    </xf>
    <xf numFmtId="0" fontId="3" fillId="0" borderId="9" xfId="0" applyFont="1" applyBorder="1" applyAlignment="1">
      <alignment horizontal="right" vertical="center"/>
    </xf>
    <xf numFmtId="165" fontId="3" fillId="0" borderId="10" xfId="0" applyNumberFormat="1" applyFont="1" applyBorder="1">
      <alignment vertical="center"/>
    </xf>
    <xf numFmtId="0" fontId="3" fillId="0" borderId="31" xfId="0" applyFont="1" applyBorder="1" applyAlignment="1">
      <alignment horizontal="right" vertical="center"/>
    </xf>
    <xf numFmtId="164" fontId="3" fillId="0" borderId="35" xfId="0" applyNumberFormat="1" applyFont="1" applyBorder="1">
      <alignment vertical="center"/>
    </xf>
    <xf numFmtId="0" fontId="3" fillId="0" borderId="23" xfId="0" applyFont="1" applyBorder="1" applyAlignment="1">
      <alignment horizontal="right" vertical="center"/>
    </xf>
    <xf numFmtId="165" fontId="3" fillId="0" borderId="23" xfId="0" applyNumberFormat="1" applyFont="1" applyBorder="1">
      <alignment vertical="center"/>
    </xf>
    <xf numFmtId="0" fontId="3" fillId="0" borderId="36" xfId="0" applyFont="1" applyBorder="1" applyAlignment="1">
      <alignment horizontal="right" vertical="center"/>
    </xf>
    <xf numFmtId="0" fontId="6" fillId="12" borderId="0" xfId="0" applyFont="1" applyFill="1" applyAlignment="1">
      <alignment horizontal="left" vertic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"/>
        <family val="2"/>
        <scheme val="none"/>
      </font>
      <numFmt numFmtId="165" formatCode="[$Php-3409]#,##0.00;\-[$Php-3409]#,##0.00"/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"/>
        <family val="2"/>
        <scheme val="none"/>
      </font>
      <numFmt numFmtId="164" formatCode="yyyy\/m\/d"/>
      <fill>
        <patternFill patternType="none">
          <fgColor indexed="64"/>
          <bgColor auto="1"/>
        </patternFill>
      </fill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[Bazaar_Sales_Analysis_Final.xlsx]CleanData!PivotTable10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Total Sales per Day (2-Day Bazaar Event)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CleanData!$H$13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CleanData!$G$14:$G$16</c:f>
              <c:strCache>
                <c:ptCount val="2"/>
                <c:pt idx="0">
                  <c:v>2026/2/14</c:v>
                </c:pt>
                <c:pt idx="1">
                  <c:v>2026/2/15</c:v>
                </c:pt>
              </c:strCache>
            </c:strRef>
          </c:cat>
          <c:val>
            <c:numRef>
              <c:f>CleanData!$H$14:$H$16</c:f>
              <c:numCache>
                <c:formatCode>[$Php-3409]#,##0.00;\-[$Php-3409]#,##0.00</c:formatCode>
                <c:ptCount val="2"/>
                <c:pt idx="0">
                  <c:v>3850</c:v>
                </c:pt>
                <c:pt idx="1">
                  <c:v>2100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08-4B04-BD11-561F9E584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500605680"/>
        <c:axId val="500605200"/>
      </c:lineChart>
      <c:catAx>
        <c:axId val="50060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605200"/>
        <c:crosses val="autoZero"/>
        <c:auto val="1"/>
        <c:lblAlgn val="ctr"/>
        <c:lblOffset val="100"/>
        <c:noMultiLvlLbl val="0"/>
      </c:catAx>
      <c:valAx>
        <c:axId val="500605200"/>
        <c:scaling>
          <c:orientation val="minMax"/>
        </c:scaling>
        <c:delete val="0"/>
        <c:axPos val="l"/>
        <c:numFmt formatCode="[$Php-3409]#,##0.00;\-[$Php-3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60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[Bazaar_Sales_Analysis_Final.xlsx]CleanData!PivotTable5</c:name>
    <c:fmtId val="8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800" b="1" i="0" u="none" strike="noStrike" baseline="0"/>
              <a:t>Total Revenue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D151DD28-B4F1-4ADE-B843-23F146508A2A}" type="VALUE">
                  <a:rPr lang="en-US">
                    <a:solidFill>
                      <a:sysClr val="windowText" lastClr="000000"/>
                    </a:solidFill>
                  </a:rPr>
                  <a:pPr>
                    <a:defRPr/>
                  </a:pPr>
                  <a:t>[VALUE]</a:t>
                </a:fld>
                <a:endParaRPr lang="en-PH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C4962BDD-AF1C-417C-A431-AAE34B637A2B}" type="VALUE">
                  <a:rPr lang="en-US">
                    <a:solidFill>
                      <a:sysClr val="windowText" lastClr="000000"/>
                    </a:solidFill>
                  </a:rPr>
                  <a:pPr>
                    <a:defRPr/>
                  </a:pPr>
                  <a:t>[VALUE]</a:t>
                </a:fld>
                <a:endParaRPr lang="en-PH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FC50DFAB-F1F5-473B-A042-681F7DDA0FC3}" type="VALUE">
                  <a:rPr lang="en-US">
                    <a:solidFill>
                      <a:sysClr val="windowText" lastClr="000000"/>
                    </a:solidFill>
                  </a:rPr>
                  <a:pPr>
                    <a:defRPr/>
                  </a:pPr>
                  <a:t>[VALUE]</a:t>
                </a:fld>
                <a:endParaRPr lang="en-PH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99C4A034-099E-4D7D-B524-BFB19DFC9376}" type="VALUE">
                  <a:rPr lang="en-US">
                    <a:solidFill>
                      <a:sysClr val="windowText" lastClr="000000"/>
                    </a:solidFill>
                  </a:rPr>
                  <a:pPr>
                    <a:defRPr/>
                  </a:pPr>
                  <a:t>[VALUE]</a:t>
                </a:fld>
                <a:endParaRPr lang="en-PH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D6FFEA48-0E4A-40B3-A3F3-BAFD0435D0EF}" type="VALUE">
                  <a:rPr lang="en-US">
                    <a:solidFill>
                      <a:sysClr val="windowText" lastClr="000000"/>
                    </a:solidFill>
                  </a:rPr>
                  <a:pPr>
                    <a:defRPr/>
                  </a:pPr>
                  <a:t>[VALUE]</a:t>
                </a:fld>
                <a:endParaRPr lang="en-PH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r"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51D330C0-D11D-4571-A679-D4B79C0423A2}" type="VALUE">
                  <a:rPr lang="en-US">
                    <a:solidFill>
                      <a:sysClr val="windowText" lastClr="000000"/>
                    </a:solidFill>
                  </a:rPr>
                  <a:pPr algn="r">
                    <a:defRPr/>
                  </a:pPr>
                  <a:t>[VALUE]</a:t>
                </a:fld>
                <a:endParaRPr lang="en-PH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r"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P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CleanData!$H$3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717F-434D-AEDC-5682AE4E32C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717F-434D-AEDC-5682AE4E32C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717F-434D-AEDC-5682AE4E32C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717F-434D-AEDC-5682AE4E32C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717F-434D-AEDC-5682AE4E32C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717F-434D-AEDC-5682AE4E32C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151DD28-B4F1-4ADE-B843-23F146508A2A}" type="VALUE">
                      <a:rPr lang="en-US">
                        <a:solidFill>
                          <a:sysClr val="windowText" lastClr="000000"/>
                        </a:solidFill>
                      </a:rPr>
                      <a:pPr/>
                      <a:t>[VALUE]</a:t>
                    </a:fld>
                    <a:endParaRPr lang="en-PH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717F-434D-AEDC-5682AE4E32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4962BDD-AF1C-417C-A431-AAE34B637A2B}" type="VALUE">
                      <a:rPr lang="en-US">
                        <a:solidFill>
                          <a:sysClr val="windowText" lastClr="000000"/>
                        </a:solidFill>
                      </a:rPr>
                      <a:pPr/>
                      <a:t>[VALUE]</a:t>
                    </a:fld>
                    <a:endParaRPr lang="en-PH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717F-434D-AEDC-5682AE4E32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C50DFAB-F1F5-473B-A042-681F7DDA0FC3}" type="VALUE">
                      <a:rPr lang="en-US">
                        <a:solidFill>
                          <a:sysClr val="windowText" lastClr="000000"/>
                        </a:solidFill>
                      </a:rPr>
                      <a:pPr/>
                      <a:t>[VALUE]</a:t>
                    </a:fld>
                    <a:endParaRPr lang="en-PH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717F-434D-AEDC-5682AE4E32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9C4A034-099E-4D7D-B524-BFB19DFC9376}" type="VALUE">
                      <a:rPr lang="en-US">
                        <a:solidFill>
                          <a:sysClr val="windowText" lastClr="000000"/>
                        </a:solidFill>
                      </a:rPr>
                      <a:pPr/>
                      <a:t>[VALUE]</a:t>
                    </a:fld>
                    <a:endParaRPr lang="en-PH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A-717F-434D-AEDC-5682AE4E32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6FFEA48-0E4A-40B3-A3F3-BAFD0435D0EF}" type="VALUE">
                      <a:rPr lang="en-US">
                        <a:solidFill>
                          <a:sysClr val="windowText" lastClr="000000"/>
                        </a:solidFill>
                      </a:rPr>
                      <a:pPr/>
                      <a:t>[VALUE]</a:t>
                    </a:fld>
                    <a:endParaRPr lang="en-PH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C-717F-434D-AEDC-5682AE4E32C9}"/>
                </c:ext>
              </c:extLst>
            </c:dLbl>
            <c:dLbl>
              <c:idx val="5"/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r">
                      <a:defRPr sz="90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1D330C0-D11D-4571-A679-D4B79C0423A2}" type="VALUE">
                      <a:rPr lang="en-US">
                        <a:solidFill>
                          <a:sysClr val="windowText" lastClr="000000"/>
                        </a:solidFill>
                      </a:rPr>
                      <a:pPr algn="r">
                        <a:defRPr/>
                      </a:pPr>
                      <a:t>[VALUE]</a:t>
                    </a:fld>
                    <a:endParaRPr lang="en-PH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r"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717F-434D-AEDC-5682AE4E32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CleanData!$G$4:$G$10</c:f>
              <c:strCache>
                <c:ptCount val="6"/>
                <c:pt idx="0">
                  <c:v>Banana Loaf</c:v>
                </c:pt>
                <c:pt idx="1">
                  <c:v>Brownies</c:v>
                </c:pt>
                <c:pt idx="2">
                  <c:v>Cupcake</c:v>
                </c:pt>
                <c:pt idx="3">
                  <c:v>Egg Tart</c:v>
                </c:pt>
                <c:pt idx="4">
                  <c:v>Mini Cupcake</c:v>
                </c:pt>
                <c:pt idx="5">
                  <c:v>Tulip Cake</c:v>
                </c:pt>
              </c:strCache>
            </c:strRef>
          </c:cat>
          <c:val>
            <c:numRef>
              <c:f>CleanData!$H$4:$H$10</c:f>
              <c:numCache>
                <c:formatCode>[$Php-3409]#,##0.00;\-[$Php-3409]#,##0.00</c:formatCode>
                <c:ptCount val="6"/>
                <c:pt idx="0">
                  <c:v>1490</c:v>
                </c:pt>
                <c:pt idx="1">
                  <c:v>430</c:v>
                </c:pt>
                <c:pt idx="2">
                  <c:v>90</c:v>
                </c:pt>
                <c:pt idx="3">
                  <c:v>3430</c:v>
                </c:pt>
                <c:pt idx="4">
                  <c:v>260</c:v>
                </c:pt>
                <c:pt idx="5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7F-434D-AEDC-5682AE4E32C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00965760"/>
        <c:axId val="500966240"/>
      </c:barChart>
      <c:catAx>
        <c:axId val="50096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966240"/>
        <c:crosses val="autoZero"/>
        <c:auto val="1"/>
        <c:lblAlgn val="ctr"/>
        <c:lblOffset val="100"/>
        <c:noMultiLvlLbl val="0"/>
      </c:catAx>
      <c:valAx>
        <c:axId val="50096624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$Php-3409]#,##0.00;\-[$Php-3409]#,##0.00" sourceLinked="1"/>
        <c:majorTickMark val="none"/>
        <c:minorTickMark val="none"/>
        <c:tickLblPos val="nextTo"/>
        <c:crossAx val="500965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[Bazaar_Sales_Analysis_Final.xlsx]CleanData!PivotTable15</c:name>
    <c:fmtId val="7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Customer Distribution by Type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chemeClr val="dk1">
                  <a:lumMod val="75000"/>
                  <a:lumOff val="25000"/>
                </a:schemeClr>
              </a:fgClr>
              <a:bgClr>
                <a:schemeClr val="dk1">
                  <a:lumMod val="65000"/>
                  <a:lumOff val="35000"/>
                </a:scheme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"/>
        <c:spPr>
          <a:solidFill>
            <a:schemeClr val="accent4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CleanData!$H$19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73EB-4D9E-8EE0-E1AF9BEDA018}"/>
              </c:ext>
            </c:extLst>
          </c:dPt>
          <c:dPt>
            <c:idx val="1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73EB-4D9E-8EE0-E1AF9BEDA01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CleanData!$G$20:$G$22</c:f>
              <c:strCache>
                <c:ptCount val="2"/>
                <c:pt idx="0">
                  <c:v>Adult</c:v>
                </c:pt>
                <c:pt idx="1">
                  <c:v>Student</c:v>
                </c:pt>
              </c:strCache>
            </c:strRef>
          </c:cat>
          <c:val>
            <c:numRef>
              <c:f>CleanData!$H$20:$H$22</c:f>
              <c:numCache>
                <c:formatCode>[$Php-3409]#,##0.00;\-[$Php-3409]#,##0.00</c:formatCode>
                <c:ptCount val="2"/>
                <c:pt idx="0">
                  <c:v>5650</c:v>
                </c:pt>
                <c:pt idx="1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52-453B-BE79-EE72EB176AE5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14286</xdr:colOff>
      <xdr:row>3</xdr:row>
      <xdr:rowOff>14287</xdr:rowOff>
    </xdr:from>
    <xdr:to>
      <xdr:col>13</xdr:col>
      <xdr:colOff>657224</xdr:colOff>
      <xdr:row>20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E844D0-2EBF-E013-6B2D-DE7994FCC8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80962</xdr:colOff>
      <xdr:row>21</xdr:row>
      <xdr:rowOff>52386</xdr:rowOff>
    </xdr:from>
    <xdr:to>
      <xdr:col>13</xdr:col>
      <xdr:colOff>638175</xdr:colOff>
      <xdr:row>37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50DF4C-4E29-7D7B-A7E8-43B500D3E0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9525</xdr:colOff>
      <xdr:row>21</xdr:row>
      <xdr:rowOff>42861</xdr:rowOff>
    </xdr:from>
    <xdr:to>
      <xdr:col>6</xdr:col>
      <xdr:colOff>609600</xdr:colOff>
      <xdr:row>37</xdr:row>
      <xdr:rowOff>161924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843A329-12F1-6762-DC3C-96A8C7A663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am Jedrek Gabison" refreshedDate="46070.891322800926" createdVersion="8" refreshedVersion="8" minRefreshableVersion="3" recordCount="31" xr:uid="{C6F0942E-3726-4936-BDD3-9D99F3E63AD0}">
  <cacheSource type="worksheet">
    <worksheetSource ref="B2:E33" sheet="CleanData"/>
  </cacheSource>
  <cacheFields count="4">
    <cacheField name="Date" numFmtId="164">
      <sharedItems containsSemiMixedTypes="0" containsNonDate="0" containsDate="1" containsString="0" minDate="2026-02-14T00:00:00" maxDate="2026-02-16T00:00:00" count="2">
        <d v="2026-02-14T00:00:00"/>
        <d v="2026-02-15T00:00:00"/>
      </sharedItems>
    </cacheField>
    <cacheField name="Product" numFmtId="0">
      <sharedItems count="6">
        <s v="Egg Tart"/>
        <s v="Banana Loaf"/>
        <s v="Tulip Cake"/>
        <s v="Mini Cupcake"/>
        <s v="Brownies"/>
        <s v="Cupcake"/>
      </sharedItems>
    </cacheField>
    <cacheField name="Price" numFmtId="165">
      <sharedItems containsSemiMixedTypes="0" containsString="0" containsNumber="1" containsInteger="1" minValue="90" maxValue="250"/>
    </cacheField>
    <cacheField name="Customer Type" numFmtId="0">
      <sharedItems count="2">
        <s v="Adult"/>
        <s v="Stud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n v="250"/>
    <x v="0"/>
  </r>
  <r>
    <x v="0"/>
    <x v="1"/>
    <n v="150"/>
    <x v="1"/>
  </r>
  <r>
    <x v="0"/>
    <x v="2"/>
    <n v="250"/>
    <x v="0"/>
  </r>
  <r>
    <x v="0"/>
    <x v="3"/>
    <n v="130"/>
    <x v="0"/>
  </r>
  <r>
    <x v="0"/>
    <x v="4"/>
    <n v="150"/>
    <x v="0"/>
  </r>
  <r>
    <x v="0"/>
    <x v="1"/>
    <n v="150"/>
    <x v="0"/>
  </r>
  <r>
    <x v="0"/>
    <x v="0"/>
    <n v="250"/>
    <x v="0"/>
  </r>
  <r>
    <x v="0"/>
    <x v="0"/>
    <n v="250"/>
    <x v="0"/>
  </r>
  <r>
    <x v="0"/>
    <x v="0"/>
    <n v="250"/>
    <x v="0"/>
  </r>
  <r>
    <x v="0"/>
    <x v="0"/>
    <n v="250"/>
    <x v="0"/>
  </r>
  <r>
    <x v="0"/>
    <x v="1"/>
    <n v="150"/>
    <x v="0"/>
  </r>
  <r>
    <x v="0"/>
    <x v="3"/>
    <n v="130"/>
    <x v="0"/>
  </r>
  <r>
    <x v="0"/>
    <x v="1"/>
    <n v="150"/>
    <x v="0"/>
  </r>
  <r>
    <x v="0"/>
    <x v="1"/>
    <n v="150"/>
    <x v="1"/>
  </r>
  <r>
    <x v="0"/>
    <x v="4"/>
    <n v="150"/>
    <x v="0"/>
  </r>
  <r>
    <x v="0"/>
    <x v="0"/>
    <n v="250"/>
    <x v="0"/>
  </r>
  <r>
    <x v="0"/>
    <x v="1"/>
    <n v="150"/>
    <x v="0"/>
  </r>
  <r>
    <x v="0"/>
    <x v="1"/>
    <n v="150"/>
    <x v="0"/>
  </r>
  <r>
    <x v="0"/>
    <x v="5"/>
    <n v="90"/>
    <x v="0"/>
  </r>
  <r>
    <x v="0"/>
    <x v="1"/>
    <n v="150"/>
    <x v="0"/>
  </r>
  <r>
    <x v="0"/>
    <x v="0"/>
    <n v="250"/>
    <x v="0"/>
  </r>
  <r>
    <x v="1"/>
    <x v="0"/>
    <n v="240"/>
    <x v="0"/>
  </r>
  <r>
    <x v="1"/>
    <x v="1"/>
    <n v="150"/>
    <x v="0"/>
  </r>
  <r>
    <x v="1"/>
    <x v="4"/>
    <n v="130"/>
    <x v="0"/>
  </r>
  <r>
    <x v="1"/>
    <x v="0"/>
    <n v="240"/>
    <x v="0"/>
  </r>
  <r>
    <x v="1"/>
    <x v="0"/>
    <n v="240"/>
    <x v="0"/>
  </r>
  <r>
    <x v="1"/>
    <x v="1"/>
    <n v="140"/>
    <x v="0"/>
  </r>
  <r>
    <x v="1"/>
    <x v="0"/>
    <n v="240"/>
    <x v="0"/>
  </r>
  <r>
    <x v="1"/>
    <x v="0"/>
    <n v="240"/>
    <x v="0"/>
  </r>
  <r>
    <x v="1"/>
    <x v="0"/>
    <n v="240"/>
    <x v="0"/>
  </r>
  <r>
    <x v="1"/>
    <x v="0"/>
    <n v="24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E8E99C-A6B3-4353-B9EF-0C616FC9B79D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2" rowHeaderCaption="Customer Type">
  <location ref="G19:H22" firstHeaderRow="1" firstDataRow="1" firstDataCol="1"/>
  <pivotFields count="4">
    <pivotField numFmtId="164" showAll="0"/>
    <pivotField showAll="0"/>
    <pivotField dataField="1" numFmtId="165" showAll="0"/>
    <pivotField axis="axisRow" showAll="0">
      <items count="3">
        <item x="0"/>
        <item x="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Price" fld="2" baseField="0" baseItem="0" numFmtId="165"/>
  </dataFields>
  <chartFormats count="6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BAEB45-BB2B-4AFD-BF0D-9CD7512F960E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 rowHeaderCaption="Dates">
  <location ref="G13:H16" firstHeaderRow="1" firstDataRow="1" firstDataCol="1"/>
  <pivotFields count="4">
    <pivotField axis="axisRow" numFmtId="164" showAll="0">
      <items count="3">
        <item x="0"/>
        <item x="1"/>
        <item t="default"/>
      </items>
    </pivotField>
    <pivotField showAll="0"/>
    <pivotField dataField="1" numFmtId="165"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Price" fld="2" baseField="0" baseItem="0" numFmtId="165"/>
  </dataFields>
  <chartFormats count="2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A685B-5E6F-435E-823C-DB76D4DF545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0" rowHeaderCaption="Products">
  <location ref="G3:H10" firstHeaderRow="1" firstDataRow="1" firstDataCol="1"/>
  <pivotFields count="4">
    <pivotField numFmtId="164" showAll="0"/>
    <pivotField axis="axisRow" showAll="0">
      <items count="7">
        <item x="1"/>
        <item x="4"/>
        <item x="5"/>
        <item x="0"/>
        <item x="3"/>
        <item x="2"/>
        <item t="default"/>
      </items>
    </pivotField>
    <pivotField dataField="1" numFmtId="165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ice" fld="2" baseField="0" baseItem="0" numFmtId="165"/>
  </dataFields>
  <chartFormats count="84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9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9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9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9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9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89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58D486-4C17-4B02-AB1E-92AE91227BE0}" name="Table1" displayName="Table1" ref="B2:E33" totalsRowShown="0" headerRowDxfId="8" dataDxfId="6" headerRowBorderDxfId="7" tableBorderDxfId="5" totalsRowBorderDxfId="4">
  <autoFilter ref="B2:E33" xr:uid="{6C58D486-4C17-4B02-AB1E-92AE91227BE0}"/>
  <tableColumns count="4">
    <tableColumn id="1" xr3:uid="{4F63E892-F48F-4EAB-A110-EC67E536532B}" name="Date" dataDxfId="3"/>
    <tableColumn id="2" xr3:uid="{28BE0368-9759-4629-956A-F41B205AF356}" name="Product" dataDxfId="2"/>
    <tableColumn id="3" xr3:uid="{CC2B7E02-C885-45FB-B3C0-AB3265EFA0D8}" name="Price" dataDxfId="1"/>
    <tableColumn id="4" xr3:uid="{6A72C9C4-7340-4D3E-8010-CEEAF9C02E7F}" name="Customer 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B4DC7-FFDE-4701-AA26-D3103D964AFD}">
  <dimension ref="A1:A2"/>
  <sheetViews>
    <sheetView showGridLines="0" zoomScaleNormal="100" workbookViewId="0">
      <selection activeCell="Q10" sqref="Q10"/>
    </sheetView>
  </sheetViews>
  <sheetFormatPr defaultRowHeight="15" x14ac:dyDescent="0.25"/>
  <cols>
    <col min="2" max="2" width="12.75" bestFit="1" customWidth="1"/>
    <col min="3" max="3" width="18.625" bestFit="1" customWidth="1"/>
  </cols>
  <sheetData>
    <row r="1" spans="1:1" s="56" customFormat="1" x14ac:dyDescent="0.25">
      <c r="A1" s="56" t="s">
        <v>45</v>
      </c>
    </row>
    <row r="2" spans="1:1" s="56" customFormat="1" x14ac:dyDescent="0.25"/>
  </sheetData>
  <mergeCells count="1">
    <mergeCell ref="A1:XFD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6B60C-E056-4C07-997E-047C95DB410E}">
  <dimension ref="B2:H33"/>
  <sheetViews>
    <sheetView workbookViewId="0">
      <selection activeCell="G1" sqref="G1:H1048576"/>
    </sheetView>
  </sheetViews>
  <sheetFormatPr defaultRowHeight="15" x14ac:dyDescent="0.25"/>
  <cols>
    <col min="2" max="5" width="18.75" customWidth="1"/>
    <col min="7" max="8" width="16.625" customWidth="1"/>
    <col min="9" max="9" width="10.5" bestFit="1" customWidth="1"/>
    <col min="10" max="10" width="9.375" bestFit="1" customWidth="1"/>
    <col min="11" max="11" width="12.125" bestFit="1" customWidth="1"/>
    <col min="12" max="12" width="12.5" bestFit="1" customWidth="1"/>
    <col min="13" max="13" width="10.5" bestFit="1" customWidth="1"/>
    <col min="14" max="14" width="12.125" bestFit="1" customWidth="1"/>
  </cols>
  <sheetData>
    <row r="2" spans="2:8" x14ac:dyDescent="0.25">
      <c r="B2" s="45" t="s">
        <v>0</v>
      </c>
      <c r="C2" s="46" t="s">
        <v>1</v>
      </c>
      <c r="D2" s="46" t="s">
        <v>2</v>
      </c>
      <c r="E2" s="47" t="s">
        <v>3</v>
      </c>
      <c r="G2" s="14" t="s">
        <v>41</v>
      </c>
    </row>
    <row r="3" spans="2:8" x14ac:dyDescent="0.25">
      <c r="B3" s="48">
        <v>46067</v>
      </c>
      <c r="C3" s="49" t="s">
        <v>6</v>
      </c>
      <c r="D3" s="50">
        <v>250</v>
      </c>
      <c r="E3" s="51" t="s">
        <v>7</v>
      </c>
      <c r="G3" s="41" t="s">
        <v>40</v>
      </c>
      <c r="H3" t="s">
        <v>38</v>
      </c>
    </row>
    <row r="4" spans="2:8" x14ac:dyDescent="0.25">
      <c r="B4" s="48">
        <v>46067</v>
      </c>
      <c r="C4" s="20" t="s">
        <v>9</v>
      </c>
      <c r="D4" s="21">
        <v>150</v>
      </c>
      <c r="E4" s="51" t="s">
        <v>10</v>
      </c>
      <c r="G4" s="42" t="s">
        <v>9</v>
      </c>
      <c r="H4" s="43">
        <v>1490</v>
      </c>
    </row>
    <row r="5" spans="2:8" x14ac:dyDescent="0.25">
      <c r="B5" s="48">
        <v>46067</v>
      </c>
      <c r="C5" s="49" t="s">
        <v>12</v>
      </c>
      <c r="D5" s="50">
        <v>250</v>
      </c>
      <c r="E5" s="51" t="s">
        <v>7</v>
      </c>
      <c r="G5" s="42" t="s">
        <v>13</v>
      </c>
      <c r="H5" s="43">
        <v>430</v>
      </c>
    </row>
    <row r="6" spans="2:8" x14ac:dyDescent="0.25">
      <c r="B6" s="48">
        <v>46067</v>
      </c>
      <c r="C6" s="20" t="s">
        <v>15</v>
      </c>
      <c r="D6" s="21">
        <v>130</v>
      </c>
      <c r="E6" s="51" t="s">
        <v>7</v>
      </c>
      <c r="G6" s="42" t="s">
        <v>22</v>
      </c>
      <c r="H6" s="43">
        <v>90</v>
      </c>
    </row>
    <row r="7" spans="2:8" x14ac:dyDescent="0.25">
      <c r="B7" s="48">
        <v>46067</v>
      </c>
      <c r="C7" s="49" t="s">
        <v>13</v>
      </c>
      <c r="D7" s="50">
        <v>150</v>
      </c>
      <c r="E7" s="51" t="s">
        <v>7</v>
      </c>
      <c r="G7" s="42" t="s">
        <v>6</v>
      </c>
      <c r="H7" s="43">
        <v>3430</v>
      </c>
    </row>
    <row r="8" spans="2:8" x14ac:dyDescent="0.25">
      <c r="B8" s="48">
        <v>46067</v>
      </c>
      <c r="C8" s="20" t="s">
        <v>9</v>
      </c>
      <c r="D8" s="21">
        <v>150</v>
      </c>
      <c r="E8" s="51" t="s">
        <v>7</v>
      </c>
      <c r="G8" s="42" t="s">
        <v>15</v>
      </c>
      <c r="H8" s="43">
        <v>260</v>
      </c>
    </row>
    <row r="9" spans="2:8" x14ac:dyDescent="0.25">
      <c r="B9" s="48">
        <v>46067</v>
      </c>
      <c r="C9" s="49" t="s">
        <v>6</v>
      </c>
      <c r="D9" s="50">
        <v>250</v>
      </c>
      <c r="E9" s="51" t="s">
        <v>7</v>
      </c>
      <c r="G9" s="42" t="s">
        <v>12</v>
      </c>
      <c r="H9" s="43">
        <v>250</v>
      </c>
    </row>
    <row r="10" spans="2:8" x14ac:dyDescent="0.25">
      <c r="B10" s="48">
        <v>46067</v>
      </c>
      <c r="C10" s="20" t="s">
        <v>6</v>
      </c>
      <c r="D10" s="21">
        <v>250</v>
      </c>
      <c r="E10" s="51" t="s">
        <v>7</v>
      </c>
      <c r="G10" s="42" t="s">
        <v>39</v>
      </c>
      <c r="H10" s="43">
        <v>5950</v>
      </c>
    </row>
    <row r="11" spans="2:8" x14ac:dyDescent="0.25">
      <c r="B11" s="48">
        <v>46067</v>
      </c>
      <c r="C11" s="49" t="s">
        <v>6</v>
      </c>
      <c r="D11" s="50">
        <v>250</v>
      </c>
      <c r="E11" s="51" t="s">
        <v>7</v>
      </c>
    </row>
    <row r="12" spans="2:8" x14ac:dyDescent="0.25">
      <c r="B12" s="48">
        <v>46067</v>
      </c>
      <c r="C12" s="20" t="s">
        <v>6</v>
      </c>
      <c r="D12" s="21">
        <v>250</v>
      </c>
      <c r="E12" s="51" t="s">
        <v>7</v>
      </c>
      <c r="G12" s="14" t="s">
        <v>42</v>
      </c>
    </row>
    <row r="13" spans="2:8" x14ac:dyDescent="0.25">
      <c r="B13" s="48">
        <v>46067</v>
      </c>
      <c r="C13" s="49" t="s">
        <v>9</v>
      </c>
      <c r="D13" s="50">
        <v>150</v>
      </c>
      <c r="E13" s="51" t="s">
        <v>7</v>
      </c>
      <c r="G13" s="41" t="s">
        <v>44</v>
      </c>
      <c r="H13" t="s">
        <v>38</v>
      </c>
    </row>
    <row r="14" spans="2:8" x14ac:dyDescent="0.25">
      <c r="B14" s="48">
        <v>46067</v>
      </c>
      <c r="C14" s="20" t="s">
        <v>15</v>
      </c>
      <c r="D14" s="21">
        <v>130</v>
      </c>
      <c r="E14" s="51" t="s">
        <v>7</v>
      </c>
      <c r="G14" s="44">
        <v>46067</v>
      </c>
      <c r="H14" s="43">
        <v>3850</v>
      </c>
    </row>
    <row r="15" spans="2:8" x14ac:dyDescent="0.25">
      <c r="B15" s="48">
        <v>46067</v>
      </c>
      <c r="C15" s="49" t="s">
        <v>9</v>
      </c>
      <c r="D15" s="50">
        <v>150</v>
      </c>
      <c r="E15" s="51" t="s">
        <v>7</v>
      </c>
      <c r="G15" s="44">
        <v>46068</v>
      </c>
      <c r="H15" s="43">
        <v>2100</v>
      </c>
    </row>
    <row r="16" spans="2:8" x14ac:dyDescent="0.25">
      <c r="B16" s="48">
        <v>46067</v>
      </c>
      <c r="C16" s="20" t="s">
        <v>9</v>
      </c>
      <c r="D16" s="21">
        <v>150</v>
      </c>
      <c r="E16" s="51" t="s">
        <v>10</v>
      </c>
      <c r="G16" s="44" t="s">
        <v>39</v>
      </c>
      <c r="H16" s="43">
        <v>5950</v>
      </c>
    </row>
    <row r="17" spans="2:8" x14ac:dyDescent="0.25">
      <c r="B17" s="48">
        <v>46067</v>
      </c>
      <c r="C17" s="49" t="s">
        <v>13</v>
      </c>
      <c r="D17" s="50">
        <v>150</v>
      </c>
      <c r="E17" s="51" t="s">
        <v>7</v>
      </c>
    </row>
    <row r="18" spans="2:8" x14ac:dyDescent="0.25">
      <c r="B18" s="48">
        <v>46067</v>
      </c>
      <c r="C18" s="20" t="s">
        <v>6</v>
      </c>
      <c r="D18" s="21">
        <v>250</v>
      </c>
      <c r="E18" s="51" t="s">
        <v>7</v>
      </c>
      <c r="G18" s="14" t="s">
        <v>43</v>
      </c>
    </row>
    <row r="19" spans="2:8" x14ac:dyDescent="0.25">
      <c r="B19" s="48">
        <v>46067</v>
      </c>
      <c r="C19" s="49" t="s">
        <v>9</v>
      </c>
      <c r="D19" s="50">
        <v>150</v>
      </c>
      <c r="E19" s="51" t="s">
        <v>7</v>
      </c>
      <c r="G19" s="41" t="s">
        <v>3</v>
      </c>
      <c r="H19" t="s">
        <v>38</v>
      </c>
    </row>
    <row r="20" spans="2:8" x14ac:dyDescent="0.25">
      <c r="B20" s="48">
        <v>46067</v>
      </c>
      <c r="C20" s="20" t="s">
        <v>9</v>
      </c>
      <c r="D20" s="21">
        <v>150</v>
      </c>
      <c r="E20" s="51" t="s">
        <v>7</v>
      </c>
      <c r="G20" s="42" t="s">
        <v>7</v>
      </c>
      <c r="H20" s="43">
        <v>5650</v>
      </c>
    </row>
    <row r="21" spans="2:8" x14ac:dyDescent="0.25">
      <c r="B21" s="48">
        <v>46067</v>
      </c>
      <c r="C21" s="49" t="s">
        <v>22</v>
      </c>
      <c r="D21" s="50">
        <v>90</v>
      </c>
      <c r="E21" s="51" t="s">
        <v>7</v>
      </c>
      <c r="G21" s="42" t="s">
        <v>10</v>
      </c>
      <c r="H21" s="43">
        <v>300</v>
      </c>
    </row>
    <row r="22" spans="2:8" x14ac:dyDescent="0.25">
      <c r="B22" s="48">
        <v>46067</v>
      </c>
      <c r="C22" s="20" t="s">
        <v>9</v>
      </c>
      <c r="D22" s="21">
        <v>150</v>
      </c>
      <c r="E22" s="51" t="s">
        <v>7</v>
      </c>
      <c r="G22" s="42" t="s">
        <v>39</v>
      </c>
      <c r="H22" s="43">
        <v>5950</v>
      </c>
    </row>
    <row r="23" spans="2:8" x14ac:dyDescent="0.25">
      <c r="B23" s="48">
        <v>46067</v>
      </c>
      <c r="C23" s="49" t="s">
        <v>6</v>
      </c>
      <c r="D23" s="50">
        <v>250</v>
      </c>
      <c r="E23" s="51" t="s">
        <v>7</v>
      </c>
    </row>
    <row r="24" spans="2:8" x14ac:dyDescent="0.25">
      <c r="B24" s="48">
        <v>46068</v>
      </c>
      <c r="C24" s="20" t="s">
        <v>6</v>
      </c>
      <c r="D24" s="21">
        <v>240</v>
      </c>
      <c r="E24" s="51" t="s">
        <v>7</v>
      </c>
    </row>
    <row r="25" spans="2:8" x14ac:dyDescent="0.25">
      <c r="B25" s="48">
        <v>46068</v>
      </c>
      <c r="C25" s="49" t="s">
        <v>9</v>
      </c>
      <c r="D25" s="50">
        <v>150</v>
      </c>
      <c r="E25" s="51" t="s">
        <v>7</v>
      </c>
    </row>
    <row r="26" spans="2:8" x14ac:dyDescent="0.25">
      <c r="B26" s="48">
        <v>46068</v>
      </c>
      <c r="C26" s="20" t="s">
        <v>13</v>
      </c>
      <c r="D26" s="21">
        <v>130</v>
      </c>
      <c r="E26" s="51" t="s">
        <v>7</v>
      </c>
    </row>
    <row r="27" spans="2:8" x14ac:dyDescent="0.25">
      <c r="B27" s="48">
        <v>46068</v>
      </c>
      <c r="C27" s="49" t="s">
        <v>6</v>
      </c>
      <c r="D27" s="50">
        <v>240</v>
      </c>
      <c r="E27" s="51" t="s">
        <v>7</v>
      </c>
    </row>
    <row r="28" spans="2:8" x14ac:dyDescent="0.25">
      <c r="B28" s="48">
        <v>46068</v>
      </c>
      <c r="C28" s="20" t="s">
        <v>6</v>
      </c>
      <c r="D28" s="21">
        <v>240</v>
      </c>
      <c r="E28" s="51" t="s">
        <v>7</v>
      </c>
    </row>
    <row r="29" spans="2:8" x14ac:dyDescent="0.25">
      <c r="B29" s="48">
        <v>46068</v>
      </c>
      <c r="C29" s="49" t="s">
        <v>9</v>
      </c>
      <c r="D29" s="50">
        <v>140</v>
      </c>
      <c r="E29" s="51" t="s">
        <v>7</v>
      </c>
    </row>
    <row r="30" spans="2:8" x14ac:dyDescent="0.25">
      <c r="B30" s="48">
        <v>46068</v>
      </c>
      <c r="C30" s="20" t="s">
        <v>6</v>
      </c>
      <c r="D30" s="21">
        <v>240</v>
      </c>
      <c r="E30" s="51" t="s">
        <v>7</v>
      </c>
    </row>
    <row r="31" spans="2:8" x14ac:dyDescent="0.25">
      <c r="B31" s="48">
        <v>46068</v>
      </c>
      <c r="C31" s="49" t="s">
        <v>6</v>
      </c>
      <c r="D31" s="50">
        <v>240</v>
      </c>
      <c r="E31" s="51" t="s">
        <v>7</v>
      </c>
    </row>
    <row r="32" spans="2:8" x14ac:dyDescent="0.25">
      <c r="B32" s="48">
        <v>46068</v>
      </c>
      <c r="C32" s="20" t="s">
        <v>6</v>
      </c>
      <c r="D32" s="21">
        <v>240</v>
      </c>
      <c r="E32" s="51" t="s">
        <v>7</v>
      </c>
    </row>
    <row r="33" spans="2:5" x14ac:dyDescent="0.25">
      <c r="B33" s="52">
        <v>46068</v>
      </c>
      <c r="C33" s="53" t="s">
        <v>6</v>
      </c>
      <c r="D33" s="54">
        <v>240</v>
      </c>
      <c r="E33" s="55" t="s">
        <v>7</v>
      </c>
    </row>
  </sheetData>
  <dataValidations count="2">
    <dataValidation type="list" allowBlank="1" showInputMessage="1" showErrorMessage="1" sqref="E3:E33" xr:uid="{B3618BCC-F43A-430A-BF2C-490209057340}">
      <formula1>$Q$4:$Q$8</formula1>
    </dataValidation>
    <dataValidation type="list" allowBlank="1" showInputMessage="1" showErrorMessage="1" sqref="C3:C33" xr:uid="{9C6AC30B-3067-49E0-8E85-F70CCF49CC33}">
      <formula1>$P$4:$P$10</formula1>
    </dataValidation>
  </dataValidations>
  <pageMargins left="0.7" right="0.7" top="0.75" bottom="0.75" header="0.3" footer="0.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"/>
  <sheetViews>
    <sheetView tabSelected="1" workbookViewId="0">
      <selection activeCell="H21" sqref="H21"/>
    </sheetView>
  </sheetViews>
  <sheetFormatPr defaultRowHeight="15" x14ac:dyDescent="0.25"/>
  <cols>
    <col min="1" max="1" width="24.875" style="12" bestFit="1" customWidth="1"/>
    <col min="2" max="2" width="9" style="12"/>
    <col min="3" max="17" width="18" style="12" customWidth="1"/>
    <col min="18" max="16384" width="9" style="12"/>
  </cols>
  <sheetData>
    <row r="1" spans="1:17" s="11" customFormat="1" ht="37.5" x14ac:dyDescent="0.25">
      <c r="A1" s="10" t="s">
        <v>29</v>
      </c>
    </row>
    <row r="3" spans="1:17" x14ac:dyDescent="0.25">
      <c r="C3" s="13" t="s">
        <v>0</v>
      </c>
      <c r="D3" s="13" t="s">
        <v>1</v>
      </c>
      <c r="E3" s="13" t="s">
        <v>2</v>
      </c>
      <c r="F3" s="13" t="s">
        <v>3</v>
      </c>
      <c r="H3" s="14" t="s">
        <v>4</v>
      </c>
      <c r="J3" s="13" t="s">
        <v>0</v>
      </c>
      <c r="K3" s="13" t="s">
        <v>1</v>
      </c>
      <c r="L3" s="13" t="s">
        <v>2</v>
      </c>
      <c r="M3" s="13" t="s">
        <v>3</v>
      </c>
      <c r="P3" s="39" t="s">
        <v>1</v>
      </c>
      <c r="Q3" s="39" t="s">
        <v>3</v>
      </c>
    </row>
    <row r="4" spans="1:17" x14ac:dyDescent="0.25">
      <c r="A4" s="14" t="s">
        <v>5</v>
      </c>
      <c r="C4" s="15">
        <v>46067</v>
      </c>
      <c r="D4" s="16" t="s">
        <v>6</v>
      </c>
      <c r="E4" s="17">
        <v>250</v>
      </c>
      <c r="F4" s="16" t="s">
        <v>7</v>
      </c>
      <c r="H4" s="18" t="s">
        <v>30</v>
      </c>
      <c r="J4" s="15">
        <v>46068</v>
      </c>
      <c r="K4" s="16" t="s">
        <v>6</v>
      </c>
      <c r="L4" s="17">
        <v>240</v>
      </c>
      <c r="M4" s="16" t="s">
        <v>7</v>
      </c>
      <c r="P4" s="40" t="s">
        <v>6</v>
      </c>
      <c r="Q4" s="40" t="s">
        <v>25</v>
      </c>
    </row>
    <row r="5" spans="1:17" x14ac:dyDescent="0.25">
      <c r="A5" s="18" t="s">
        <v>8</v>
      </c>
      <c r="C5" s="19">
        <v>46067</v>
      </c>
      <c r="D5" s="20" t="s">
        <v>9</v>
      </c>
      <c r="E5" s="21">
        <v>150</v>
      </c>
      <c r="F5" s="20" t="s">
        <v>10</v>
      </c>
      <c r="H5" s="18" t="s">
        <v>31</v>
      </c>
      <c r="J5" s="19">
        <v>46068</v>
      </c>
      <c r="K5" s="20" t="s">
        <v>9</v>
      </c>
      <c r="L5" s="21">
        <v>150</v>
      </c>
      <c r="M5" s="20" t="s">
        <v>7</v>
      </c>
      <c r="P5" s="38" t="s">
        <v>9</v>
      </c>
      <c r="Q5" s="38" t="s">
        <v>10</v>
      </c>
    </row>
    <row r="6" spans="1:17" x14ac:dyDescent="0.25">
      <c r="A6" s="18" t="s">
        <v>11</v>
      </c>
      <c r="C6" s="15">
        <v>46067</v>
      </c>
      <c r="D6" s="16" t="s">
        <v>12</v>
      </c>
      <c r="E6" s="17">
        <v>250</v>
      </c>
      <c r="F6" s="16" t="s">
        <v>7</v>
      </c>
      <c r="H6" s="18" t="s">
        <v>32</v>
      </c>
      <c r="J6" s="15">
        <v>46068</v>
      </c>
      <c r="K6" s="16" t="s">
        <v>13</v>
      </c>
      <c r="L6" s="17">
        <v>130</v>
      </c>
      <c r="M6" s="16" t="s">
        <v>7</v>
      </c>
      <c r="P6" s="40" t="s">
        <v>12</v>
      </c>
      <c r="Q6" s="40" t="s">
        <v>26</v>
      </c>
    </row>
    <row r="7" spans="1:17" x14ac:dyDescent="0.25">
      <c r="A7" s="18" t="s">
        <v>14</v>
      </c>
      <c r="C7" s="19">
        <v>46067</v>
      </c>
      <c r="D7" s="20" t="s">
        <v>15</v>
      </c>
      <c r="E7" s="21">
        <v>130</v>
      </c>
      <c r="F7" s="20" t="s">
        <v>7</v>
      </c>
      <c r="H7" s="18" t="s">
        <v>33</v>
      </c>
      <c r="J7" s="19">
        <v>46068</v>
      </c>
      <c r="K7" s="20" t="s">
        <v>6</v>
      </c>
      <c r="L7" s="21">
        <v>240</v>
      </c>
      <c r="M7" s="20" t="s">
        <v>7</v>
      </c>
      <c r="P7" s="38" t="s">
        <v>15</v>
      </c>
      <c r="Q7" s="38" t="s">
        <v>7</v>
      </c>
    </row>
    <row r="8" spans="1:17" x14ac:dyDescent="0.25">
      <c r="A8" s="18" t="s">
        <v>16</v>
      </c>
      <c r="C8" s="15">
        <v>46067</v>
      </c>
      <c r="D8" s="16" t="s">
        <v>13</v>
      </c>
      <c r="E8" s="17">
        <v>150</v>
      </c>
      <c r="F8" s="16" t="s">
        <v>7</v>
      </c>
      <c r="H8" s="18" t="s">
        <v>34</v>
      </c>
      <c r="J8" s="15">
        <v>46068</v>
      </c>
      <c r="K8" s="16" t="s">
        <v>6</v>
      </c>
      <c r="L8" s="17">
        <v>240</v>
      </c>
      <c r="M8" s="16" t="s">
        <v>7</v>
      </c>
      <c r="P8" s="40" t="s">
        <v>22</v>
      </c>
      <c r="Q8" s="40" t="s">
        <v>27</v>
      </c>
    </row>
    <row r="9" spans="1:17" x14ac:dyDescent="0.25">
      <c r="A9" s="18" t="s">
        <v>17</v>
      </c>
      <c r="C9" s="19">
        <v>46067</v>
      </c>
      <c r="D9" s="20" t="s">
        <v>9</v>
      </c>
      <c r="E9" s="21">
        <v>150</v>
      </c>
      <c r="F9" s="20" t="s">
        <v>7</v>
      </c>
      <c r="H9" s="18" t="s">
        <v>35</v>
      </c>
      <c r="J9" s="19">
        <v>46068</v>
      </c>
      <c r="K9" s="20" t="s">
        <v>9</v>
      </c>
      <c r="L9" s="21">
        <v>140</v>
      </c>
      <c r="M9" s="20" t="s">
        <v>7</v>
      </c>
      <c r="P9" s="38" t="s">
        <v>13</v>
      </c>
      <c r="Q9" s="38"/>
    </row>
    <row r="10" spans="1:17" x14ac:dyDescent="0.25">
      <c r="A10" s="18" t="s">
        <v>18</v>
      </c>
      <c r="C10" s="15">
        <v>46067</v>
      </c>
      <c r="D10" s="16" t="s">
        <v>6</v>
      </c>
      <c r="E10" s="17">
        <v>250</v>
      </c>
      <c r="F10" s="16" t="s">
        <v>7</v>
      </c>
      <c r="H10" s="18" t="s">
        <v>36</v>
      </c>
      <c r="J10" s="22">
        <v>46068</v>
      </c>
      <c r="K10" s="23" t="s">
        <v>6</v>
      </c>
      <c r="L10" s="24">
        <v>240</v>
      </c>
      <c r="M10" s="23" t="s">
        <v>7</v>
      </c>
      <c r="P10" s="40" t="s">
        <v>28</v>
      </c>
      <c r="Q10" s="40"/>
    </row>
    <row r="11" spans="1:17" x14ac:dyDescent="0.25">
      <c r="A11" s="18" t="s">
        <v>19</v>
      </c>
      <c r="C11" s="19">
        <v>46067</v>
      </c>
      <c r="D11" s="20" t="s">
        <v>6</v>
      </c>
      <c r="E11" s="21">
        <v>250</v>
      </c>
      <c r="F11" s="20" t="s">
        <v>7</v>
      </c>
      <c r="J11" s="25">
        <v>46068</v>
      </c>
      <c r="K11" s="26" t="s">
        <v>6</v>
      </c>
      <c r="L11" s="27">
        <v>240</v>
      </c>
      <c r="M11" s="26" t="s">
        <v>7</v>
      </c>
    </row>
    <row r="12" spans="1:17" x14ac:dyDescent="0.25">
      <c r="C12" s="15">
        <v>46067</v>
      </c>
      <c r="D12" s="16" t="s">
        <v>6</v>
      </c>
      <c r="E12" s="17">
        <v>250</v>
      </c>
      <c r="F12" s="16" t="s">
        <v>7</v>
      </c>
      <c r="H12" s="28" t="s">
        <v>20</v>
      </c>
      <c r="J12" s="29">
        <v>46068</v>
      </c>
      <c r="K12" s="30" t="s">
        <v>6</v>
      </c>
      <c r="L12" s="31">
        <v>240</v>
      </c>
      <c r="M12" s="30" t="s">
        <v>7</v>
      </c>
    </row>
    <row r="13" spans="1:17" x14ac:dyDescent="0.25">
      <c r="A13" s="28" t="s">
        <v>20</v>
      </c>
      <c r="C13" s="19">
        <v>46067</v>
      </c>
      <c r="D13" s="20" t="s">
        <v>6</v>
      </c>
      <c r="E13" s="21">
        <v>250</v>
      </c>
      <c r="F13" s="20" t="s">
        <v>7</v>
      </c>
      <c r="H13" s="32">
        <f>SUM(L3:L13)</f>
        <v>2100</v>
      </c>
      <c r="J13" s="25">
        <v>46068</v>
      </c>
      <c r="K13" s="26" t="s">
        <v>6</v>
      </c>
      <c r="L13" s="27">
        <v>240</v>
      </c>
      <c r="M13" s="26" t="s">
        <v>7</v>
      </c>
    </row>
    <row r="14" spans="1:17" x14ac:dyDescent="0.25">
      <c r="A14" s="32">
        <f>SUM(E4:E24)</f>
        <v>3850</v>
      </c>
      <c r="C14" s="15">
        <v>46067</v>
      </c>
      <c r="D14" s="16" t="s">
        <v>9</v>
      </c>
      <c r="E14" s="17">
        <v>150</v>
      </c>
      <c r="F14" s="16" t="s">
        <v>7</v>
      </c>
      <c r="K14" s="33"/>
      <c r="L14" s="34"/>
      <c r="M14" s="33"/>
    </row>
    <row r="15" spans="1:17" x14ac:dyDescent="0.25">
      <c r="C15" s="19">
        <v>46067</v>
      </c>
      <c r="D15" s="20" t="s">
        <v>15</v>
      </c>
      <c r="E15" s="21">
        <v>130</v>
      </c>
      <c r="F15" s="20" t="s">
        <v>7</v>
      </c>
      <c r="K15" s="33"/>
      <c r="L15" s="34"/>
      <c r="M15" s="33"/>
    </row>
    <row r="16" spans="1:17" x14ac:dyDescent="0.25">
      <c r="C16" s="15">
        <v>46067</v>
      </c>
      <c r="D16" s="16" t="s">
        <v>9</v>
      </c>
      <c r="E16" s="17">
        <v>150</v>
      </c>
      <c r="F16" s="16" t="s">
        <v>7</v>
      </c>
      <c r="K16" s="33"/>
      <c r="L16" s="34"/>
      <c r="M16" s="33"/>
    </row>
    <row r="17" spans="1:15" x14ac:dyDescent="0.25">
      <c r="A17" s="35" t="s">
        <v>37</v>
      </c>
      <c r="C17" s="19">
        <v>46067</v>
      </c>
      <c r="D17" s="20" t="s">
        <v>9</v>
      </c>
      <c r="E17" s="21">
        <v>150</v>
      </c>
      <c r="F17" s="20" t="s">
        <v>10</v>
      </c>
      <c r="K17" s="33"/>
      <c r="L17" s="34"/>
      <c r="M17" s="33"/>
    </row>
    <row r="18" spans="1:15" x14ac:dyDescent="0.25">
      <c r="A18" s="36">
        <f>SUM(A14,H13)</f>
        <v>5950</v>
      </c>
      <c r="C18" s="15">
        <v>46067</v>
      </c>
      <c r="D18" s="16" t="s">
        <v>13</v>
      </c>
      <c r="E18" s="17">
        <v>150</v>
      </c>
      <c r="F18" s="16" t="s">
        <v>7</v>
      </c>
      <c r="K18" s="33"/>
      <c r="L18" s="37"/>
      <c r="M18" s="33"/>
    </row>
    <row r="19" spans="1:15" x14ac:dyDescent="0.25">
      <c r="C19" s="19">
        <v>46067</v>
      </c>
      <c r="D19" s="20" t="s">
        <v>6</v>
      </c>
      <c r="E19" s="21">
        <v>250</v>
      </c>
      <c r="F19" s="20" t="s">
        <v>7</v>
      </c>
      <c r="K19" s="33"/>
      <c r="L19" s="34"/>
      <c r="M19" s="33"/>
    </row>
    <row r="20" spans="1:15" x14ac:dyDescent="0.25">
      <c r="C20" s="15">
        <v>46067</v>
      </c>
      <c r="D20" s="16" t="s">
        <v>9</v>
      </c>
      <c r="E20" s="17">
        <v>150</v>
      </c>
      <c r="F20" s="16" t="s">
        <v>7</v>
      </c>
      <c r="K20" s="33" t="s">
        <v>21</v>
      </c>
      <c r="L20" s="34"/>
      <c r="M20" s="33"/>
    </row>
    <row r="21" spans="1:15" x14ac:dyDescent="0.25">
      <c r="C21" s="19">
        <v>46067</v>
      </c>
      <c r="D21" s="20" t="s">
        <v>9</v>
      </c>
      <c r="E21" s="21">
        <v>150</v>
      </c>
      <c r="F21" s="20" t="s">
        <v>7</v>
      </c>
      <c r="K21" s="33"/>
      <c r="L21" s="34"/>
      <c r="M21" s="33"/>
    </row>
    <row r="22" spans="1:15" x14ac:dyDescent="0.25">
      <c r="C22" s="15">
        <v>46067</v>
      </c>
      <c r="D22" s="16" t="s">
        <v>22</v>
      </c>
      <c r="E22" s="17">
        <v>90</v>
      </c>
      <c r="F22" s="16" t="s">
        <v>7</v>
      </c>
      <c r="K22" s="33"/>
      <c r="L22" s="34"/>
      <c r="M22" s="33"/>
    </row>
    <row r="23" spans="1:15" x14ac:dyDescent="0.25">
      <c r="C23" s="19">
        <v>46067</v>
      </c>
      <c r="D23" s="20" t="s">
        <v>9</v>
      </c>
      <c r="E23" s="21">
        <v>150</v>
      </c>
      <c r="F23" s="20" t="s">
        <v>7</v>
      </c>
      <c r="K23" s="33"/>
      <c r="L23" s="34"/>
      <c r="M23" s="33"/>
    </row>
    <row r="24" spans="1:15" x14ac:dyDescent="0.25">
      <c r="C24" s="15">
        <v>46067</v>
      </c>
      <c r="D24" s="16" t="s">
        <v>6</v>
      </c>
      <c r="E24" s="17">
        <v>250</v>
      </c>
      <c r="F24" s="16" t="s">
        <v>7</v>
      </c>
      <c r="K24" s="33"/>
      <c r="L24" s="34"/>
      <c r="M24" s="33"/>
    </row>
    <row r="25" spans="1:15" x14ac:dyDescent="0.25">
      <c r="F25" s="33"/>
      <c r="K25" s="33"/>
      <c r="L25" s="34"/>
      <c r="M25" s="33"/>
    </row>
    <row r="26" spans="1:15" ht="15.75" thickBot="1" x14ac:dyDescent="0.3">
      <c r="F26" s="33"/>
      <c r="K26" s="33"/>
      <c r="L26" s="34"/>
      <c r="M26" s="33"/>
    </row>
    <row r="27" spans="1:15" ht="15.75" thickTop="1" x14ac:dyDescent="0.25">
      <c r="C27"/>
      <c r="D27" s="5" t="s">
        <v>1</v>
      </c>
      <c r="E27" s="4" t="s">
        <v>23</v>
      </c>
      <c r="F27"/>
      <c r="G27" s="1" t="s">
        <v>3</v>
      </c>
      <c r="H27" s="1" t="s">
        <v>24</v>
      </c>
      <c r="I27"/>
      <c r="J27"/>
      <c r="K27" s="5" t="s">
        <v>1</v>
      </c>
      <c r="L27" s="4" t="s">
        <v>23</v>
      </c>
      <c r="M27"/>
      <c r="N27" s="1" t="s">
        <v>3</v>
      </c>
      <c r="O27" s="1" t="s">
        <v>24</v>
      </c>
    </row>
    <row r="28" spans="1:15" x14ac:dyDescent="0.25">
      <c r="C28">
        <v>13</v>
      </c>
      <c r="D28" s="7" t="s">
        <v>9</v>
      </c>
      <c r="E28" s="6">
        <f>COUNTIF(RawData!D:D,"Banana Loaf")</f>
        <v>9</v>
      </c>
      <c r="F28"/>
      <c r="G28" t="s">
        <v>25</v>
      </c>
      <c r="H28">
        <f>COUNTIF(RawData!F:F,"Child")</f>
        <v>0</v>
      </c>
      <c r="I28"/>
      <c r="J28">
        <v>5</v>
      </c>
      <c r="K28" s="7" t="s">
        <v>9</v>
      </c>
      <c r="L28" s="6">
        <f>COUNTIF(RawData!K:K,"Banana Loaf")</f>
        <v>3</v>
      </c>
      <c r="M28"/>
      <c r="N28" t="s">
        <v>25</v>
      </c>
      <c r="O28">
        <f>COUNTIF(RawData!M:M,"Child")</f>
        <v>0</v>
      </c>
    </row>
    <row r="29" spans="1:15" x14ac:dyDescent="0.25">
      <c r="C29">
        <v>12</v>
      </c>
      <c r="D29" s="3" t="s">
        <v>22</v>
      </c>
      <c r="E29" s="2">
        <f>COUNTIF(RawData!D:D,"Cupcake")</f>
        <v>2</v>
      </c>
      <c r="F29"/>
      <c r="G29" t="s">
        <v>10</v>
      </c>
      <c r="H29">
        <f>COUNTIF(RawData!F:F,"Student")</f>
        <v>2</v>
      </c>
      <c r="I29"/>
      <c r="J29">
        <v>10</v>
      </c>
      <c r="K29" s="3" t="s">
        <v>22</v>
      </c>
      <c r="L29" s="2">
        <f>COUNTIF(RawData!K:K,"Cupcake")</f>
        <v>1</v>
      </c>
      <c r="M29"/>
      <c r="N29" t="s">
        <v>10</v>
      </c>
      <c r="O29">
        <f>COUNTIF(RawData!M:M,"Student")</f>
        <v>0</v>
      </c>
    </row>
    <row r="30" spans="1:15" x14ac:dyDescent="0.25">
      <c r="C30">
        <v>2</v>
      </c>
      <c r="D30" s="7" t="s">
        <v>12</v>
      </c>
      <c r="E30" s="6">
        <f>COUNTIF(RawData!D:D,"Tulip Cake")</f>
        <v>2</v>
      </c>
      <c r="F30"/>
      <c r="G30" t="s">
        <v>26</v>
      </c>
      <c r="H30">
        <f>COUNTIF(RawData!F:F,"Teenager")</f>
        <v>0</v>
      </c>
      <c r="I30"/>
      <c r="J30">
        <v>0</v>
      </c>
      <c r="K30" s="7" t="s">
        <v>12</v>
      </c>
      <c r="L30" s="6">
        <f>COUNTIF(RawData!K:K,"Tulip Cake")</f>
        <v>1</v>
      </c>
      <c r="M30"/>
      <c r="N30" t="s">
        <v>26</v>
      </c>
      <c r="O30">
        <f>COUNTIF(RawData!M:M,"Teenager")</f>
        <v>0</v>
      </c>
    </row>
    <row r="31" spans="1:15" x14ac:dyDescent="0.25">
      <c r="C31">
        <v>4</v>
      </c>
      <c r="D31" s="3" t="s">
        <v>15</v>
      </c>
      <c r="E31" s="2">
        <f>COUNTIF(RawData!D:D,"Mini Cupcake")</f>
        <v>3</v>
      </c>
      <c r="F31"/>
      <c r="G31" t="s">
        <v>7</v>
      </c>
      <c r="H31">
        <f>COUNTIF(RawData!F:F,"Adult")</f>
        <v>19</v>
      </c>
      <c r="I31"/>
      <c r="J31">
        <v>2</v>
      </c>
      <c r="K31" s="3" t="s">
        <v>15</v>
      </c>
      <c r="L31" s="2">
        <f>COUNTIF(RawData!K:K,"Mini Cupcake")</f>
        <v>1</v>
      </c>
      <c r="M31"/>
      <c r="N31" t="s">
        <v>7</v>
      </c>
      <c r="O31">
        <f>COUNTIF(RawData!M:M,"Adult")</f>
        <v>10</v>
      </c>
    </row>
    <row r="32" spans="1:15" x14ac:dyDescent="0.25">
      <c r="C32">
        <v>7</v>
      </c>
      <c r="D32" s="7" t="s">
        <v>13</v>
      </c>
      <c r="E32" s="6">
        <f>COUNTIF(RawData!D:D,"Brownies")</f>
        <v>3</v>
      </c>
      <c r="F32"/>
      <c r="G32" t="s">
        <v>27</v>
      </c>
      <c r="H32">
        <f>COUNTIF(RawData!F:F,"Elderly")</f>
        <v>0</v>
      </c>
      <c r="I32"/>
      <c r="J32">
        <v>5</v>
      </c>
      <c r="K32" s="7" t="s">
        <v>13</v>
      </c>
      <c r="L32" s="6">
        <f>COUNTIF(RawData!K:K,"Brownies")</f>
        <v>2</v>
      </c>
      <c r="M32"/>
      <c r="N32" t="s">
        <v>27</v>
      </c>
      <c r="O32">
        <f>COUNTIF(RawData!M:M,"Elderly")</f>
        <v>0</v>
      </c>
    </row>
    <row r="33" spans="3:15" x14ac:dyDescent="0.25">
      <c r="C33">
        <v>13</v>
      </c>
      <c r="D33" s="3" t="s">
        <v>6</v>
      </c>
      <c r="E33" s="2">
        <f>COUNTIF(RawData!D:D,"Egg Tart")</f>
        <v>8</v>
      </c>
      <c r="F33"/>
      <c r="G33"/>
      <c r="H33"/>
      <c r="I33"/>
      <c r="J33">
        <v>13</v>
      </c>
      <c r="K33" s="3" t="s">
        <v>6</v>
      </c>
      <c r="L33" s="2">
        <f>COUNTIF(RawData!K:K,"Egg Tart")</f>
        <v>8</v>
      </c>
      <c r="M33"/>
      <c r="N33"/>
      <c r="O33"/>
    </row>
    <row r="34" spans="3:15" ht="15.75" thickBot="1" x14ac:dyDescent="0.3">
      <c r="C34"/>
      <c r="D34" s="9" t="s">
        <v>28</v>
      </c>
      <c r="E34" s="8">
        <f>COUNTIF(RawData!D:D,"Juice")</f>
        <v>1</v>
      </c>
      <c r="F34"/>
      <c r="G34"/>
      <c r="H34"/>
      <c r="I34"/>
      <c r="J34"/>
      <c r="K34" s="9" t="s">
        <v>28</v>
      </c>
      <c r="L34" s="8">
        <f>COUNTIF(RawData!K:K,"Juice")</f>
        <v>1</v>
      </c>
      <c r="M34"/>
      <c r="N34"/>
      <c r="O34"/>
    </row>
    <row r="35" spans="3:15" ht="15.75" thickTop="1" x14ac:dyDescent="0.25">
      <c r="F35" s="33"/>
      <c r="L35" s="34"/>
      <c r="M35" s="33"/>
    </row>
    <row r="36" spans="3:15" x14ac:dyDescent="0.25">
      <c r="F36" s="33"/>
      <c r="L36" s="34"/>
      <c r="M36" s="33"/>
    </row>
    <row r="37" spans="3:15" x14ac:dyDescent="0.25">
      <c r="F37" s="33"/>
      <c r="L37" s="34"/>
    </row>
    <row r="38" spans="3:15" x14ac:dyDescent="0.25">
      <c r="F38" s="33"/>
      <c r="L38" s="34"/>
    </row>
    <row r="39" spans="3:15" x14ac:dyDescent="0.25">
      <c r="L39" s="34"/>
    </row>
    <row r="40" spans="3:15" x14ac:dyDescent="0.25">
      <c r="L40" s="34"/>
    </row>
    <row r="41" spans="3:15" x14ac:dyDescent="0.25">
      <c r="L41" s="34"/>
    </row>
    <row r="42" spans="3:15" x14ac:dyDescent="0.25">
      <c r="L42" s="34"/>
    </row>
  </sheetData>
  <dataValidations count="2">
    <dataValidation type="list" allowBlank="1" showInputMessage="1" showErrorMessage="1" sqref="D4:D24 K4:K13" xr:uid="{0A3468E8-6C7E-4A22-98C6-2717DB6A20A9}">
      <formula1>$P$4:$P$10</formula1>
    </dataValidation>
    <dataValidation type="list" allowBlank="1" showInputMessage="1" showErrorMessage="1" sqref="F4:F24 M4:M13" xr:uid="{E7557459-F5A7-4714-A942-45E416B603D2}">
      <formula1>$Q$4:$Q$8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1829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 Report</vt:lpstr>
      <vt:lpstr>CleanData</vt:lpstr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Jedrek Gabison</dc:creator>
  <cp:lastModifiedBy>Liam Jedrek Gabison</cp:lastModifiedBy>
  <cp:revision>0</cp:revision>
  <dcterms:created xsi:type="dcterms:W3CDTF">2024-04-18T03:23:06Z</dcterms:created>
  <dcterms:modified xsi:type="dcterms:W3CDTF">2026-03-05T14:58:46Z</dcterms:modified>
</cp:coreProperties>
</file>